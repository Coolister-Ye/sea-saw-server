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coolister/Desktop/order_files/"/>
    </mc:Choice>
  </mc:AlternateContent>
  <xr:revisionPtr revIDLastSave="0" documentId="13_ncr:1_{CAD7835C-CDC9-5A49-AB55-68E468614404}" xr6:coauthVersionLast="47" xr6:coauthVersionMax="47" xr10:uidLastSave="{00000000-0000-0000-0000-000000000000}"/>
  <bookViews>
    <workbookView xWindow="-2640" yWindow="-20060" windowWidth="31740" windowHeight="18480" activeTab="1" xr2:uid="{00000000-000D-0000-FFFF-FFFF00000000}"/>
  </bookViews>
  <sheets>
    <sheet name="Order" sheetId="1" r:id="rId1"/>
    <sheet name="Purchase" sheetId="2" r:id="rId2"/>
    <sheet name="TEMPLATE" sheetId="3" r:id="rId3"/>
  </sheets>
  <definedNames>
    <definedName name="_xlnm.Print_Area" localSheetId="2">TEMPLATE!$A$1:$J$38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3" l="1"/>
  <c r="I22" i="3" s="1"/>
  <c r="H2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系统提示</author>
  </authors>
  <commentList>
    <comment ref="A1" authorId="0" shapeId="0" xr:uid="{00000000-0006-0000-0000-000001000000}">
      <text>
        <r>
          <rPr>
            <sz val="12"/>
            <color rgb="FF000000"/>
            <rFont val="等线"/>
            <family val="4"/>
            <charset val="134"/>
          </rPr>
          <t>从第</t>
        </r>
        <r>
          <rPr>
            <sz val="12"/>
            <color rgb="FF000000"/>
            <rFont val="等线"/>
            <family val="4"/>
            <charset val="134"/>
          </rPr>
          <t>3</t>
        </r>
        <r>
          <rPr>
            <sz val="12"/>
            <color rgb="FF000000"/>
            <rFont val="等线"/>
            <family val="4"/>
            <charset val="134"/>
          </rPr>
          <t>行起每行一个订单。</t>
        </r>
        <r>
          <rPr>
            <sz val="12"/>
            <color rgb="FF000000"/>
            <rFont val="等线"/>
            <family val="4"/>
            <charset val="134"/>
          </rPr>
          <t xml:space="preserve">
</t>
        </r>
        <r>
          <rPr>
            <sz val="12"/>
            <color rgb="FF000000"/>
            <rFont val="等线"/>
            <family val="4"/>
            <charset val="134"/>
          </rPr>
          <t xml:space="preserve">Specifications </t>
        </r>
        <r>
          <rPr>
            <sz val="12"/>
            <color rgb="FF000000"/>
            <rFont val="等线"/>
            <family val="4"/>
            <charset val="134"/>
          </rPr>
          <t>多行内容用</t>
        </r>
        <r>
          <rPr>
            <sz val="12"/>
            <color rgb="FF000000"/>
            <rFont val="等线"/>
            <family val="4"/>
            <charset val="134"/>
          </rPr>
          <t xml:space="preserve"> | </t>
        </r>
        <r>
          <rPr>
            <sz val="12"/>
            <color rgb="FF000000"/>
            <rFont val="等线"/>
            <family val="4"/>
            <charset val="134"/>
          </rPr>
          <t>分隔（如：规格</t>
        </r>
        <r>
          <rPr>
            <sz val="12"/>
            <color rgb="FF000000"/>
            <rFont val="等线"/>
            <family val="4"/>
            <charset val="134"/>
          </rPr>
          <t>1|</t>
        </r>
        <r>
          <rPr>
            <sz val="12"/>
            <color rgb="FF000000"/>
            <rFont val="等线"/>
            <family val="4"/>
            <charset val="134"/>
          </rPr>
          <t>规格</t>
        </r>
        <r>
          <rPr>
            <sz val="12"/>
            <color rgb="FF000000"/>
            <rFont val="等线"/>
            <family val="4"/>
            <charset val="134"/>
          </rPr>
          <t>2|</t>
        </r>
        <r>
          <rPr>
            <sz val="12"/>
            <color rgb="FF000000"/>
            <rFont val="等线"/>
            <family val="4"/>
            <charset val="134"/>
          </rPr>
          <t>规格</t>
        </r>
        <r>
          <rPr>
            <sz val="12"/>
            <color rgb="FF000000"/>
            <rFont val="等线"/>
            <family val="4"/>
            <charset val="134"/>
          </rPr>
          <t>3</t>
        </r>
        <r>
          <rPr>
            <sz val="12"/>
            <color rgb="FF000000"/>
            <rFont val="等线"/>
            <family val="4"/>
            <charset val="134"/>
          </rPr>
          <t>）。</t>
        </r>
        <r>
          <rPr>
            <sz val="12"/>
            <color rgb="FF000000"/>
            <rFont val="等线"/>
            <family val="4"/>
            <charset val="134"/>
          </rPr>
          <t xml:space="preserve">
</t>
        </r>
        <r>
          <rPr>
            <sz val="12"/>
            <color rgb="FF000000"/>
            <rFont val="等线"/>
            <family val="4"/>
            <charset val="134"/>
          </rPr>
          <t>填好后运行</t>
        </r>
        <r>
          <rPr>
            <sz val="12"/>
            <color rgb="FF000000"/>
            <rFont val="等线"/>
            <family val="4"/>
            <charset val="134"/>
          </rPr>
          <t xml:space="preserve"> generate_contracts.py </t>
        </r>
        <r>
          <rPr>
            <sz val="12"/>
            <color rgb="FF000000"/>
            <rFont val="等线"/>
            <family val="4"/>
            <charset val="134"/>
          </rPr>
          <t>生成合同。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系统提示</author>
  </authors>
  <commentList>
    <comment ref="A1" authorId="0" shapeId="0" xr:uid="{00000000-0006-0000-0100-000001000000}">
      <text>
        <r>
          <rPr>
            <sz val="12"/>
            <color rgb="FF000000"/>
            <rFont val="等线"/>
            <family val="4"/>
            <charset val="134"/>
          </rPr>
          <t>从第</t>
        </r>
        <r>
          <rPr>
            <sz val="12"/>
            <color rgb="FF000000"/>
            <rFont val="等线"/>
            <family val="4"/>
            <charset val="134"/>
          </rPr>
          <t>3</t>
        </r>
        <r>
          <rPr>
            <sz val="12"/>
            <color rgb="FF000000"/>
            <rFont val="等线"/>
            <family val="4"/>
            <charset val="134"/>
          </rPr>
          <t>行起每行一个订单。</t>
        </r>
        <r>
          <rPr>
            <sz val="12"/>
            <color rgb="FF000000"/>
            <rFont val="等线"/>
            <family val="4"/>
            <charset val="134"/>
          </rPr>
          <t xml:space="preserve">
</t>
        </r>
        <r>
          <rPr>
            <sz val="12"/>
            <color rgb="FF000000"/>
            <rFont val="等线"/>
            <family val="4"/>
            <charset val="134"/>
          </rPr>
          <t xml:space="preserve">Specifications </t>
        </r>
        <r>
          <rPr>
            <sz val="12"/>
            <color rgb="FF000000"/>
            <rFont val="等线"/>
            <family val="4"/>
            <charset val="134"/>
          </rPr>
          <t>多行内容用</t>
        </r>
        <r>
          <rPr>
            <sz val="12"/>
            <color rgb="FF000000"/>
            <rFont val="等线"/>
            <family val="4"/>
            <charset val="134"/>
          </rPr>
          <t xml:space="preserve"> | </t>
        </r>
        <r>
          <rPr>
            <sz val="12"/>
            <color rgb="FF000000"/>
            <rFont val="等线"/>
            <family val="4"/>
            <charset val="134"/>
          </rPr>
          <t>分隔（如：规格</t>
        </r>
        <r>
          <rPr>
            <sz val="12"/>
            <color rgb="FF000000"/>
            <rFont val="等线"/>
            <family val="4"/>
            <charset val="134"/>
          </rPr>
          <t>1|</t>
        </r>
        <r>
          <rPr>
            <sz val="12"/>
            <color rgb="FF000000"/>
            <rFont val="等线"/>
            <family val="4"/>
            <charset val="134"/>
          </rPr>
          <t>规格</t>
        </r>
        <r>
          <rPr>
            <sz val="12"/>
            <color rgb="FF000000"/>
            <rFont val="等线"/>
            <family val="4"/>
            <charset val="134"/>
          </rPr>
          <t>2|</t>
        </r>
        <r>
          <rPr>
            <sz val="12"/>
            <color rgb="FF000000"/>
            <rFont val="等线"/>
            <family val="4"/>
            <charset val="134"/>
          </rPr>
          <t>规格</t>
        </r>
        <r>
          <rPr>
            <sz val="12"/>
            <color rgb="FF000000"/>
            <rFont val="等线"/>
            <family val="4"/>
            <charset val="134"/>
          </rPr>
          <t>3</t>
        </r>
        <r>
          <rPr>
            <sz val="12"/>
            <color rgb="FF000000"/>
            <rFont val="等线"/>
            <family val="4"/>
            <charset val="134"/>
          </rPr>
          <t>）。</t>
        </r>
        <r>
          <rPr>
            <sz val="12"/>
            <color rgb="FF000000"/>
            <rFont val="等线"/>
            <family val="4"/>
            <charset val="134"/>
          </rPr>
          <t xml:space="preserve">
</t>
        </r>
        <r>
          <rPr>
            <sz val="12"/>
            <color rgb="FF000000"/>
            <rFont val="等线"/>
            <family val="4"/>
            <charset val="134"/>
          </rPr>
          <t>填好后运行</t>
        </r>
        <r>
          <rPr>
            <sz val="12"/>
            <color rgb="FF000000"/>
            <rFont val="等线"/>
            <family val="4"/>
            <charset val="134"/>
          </rPr>
          <t xml:space="preserve"> generate_contracts.py </t>
        </r>
        <r>
          <rPr>
            <sz val="12"/>
            <color rgb="FF000000"/>
            <rFont val="等线"/>
            <family val="4"/>
            <charset val="134"/>
          </rPr>
          <t>生成合同。</t>
        </r>
      </text>
    </comment>
  </commentList>
</comments>
</file>

<file path=xl/sharedStrings.xml><?xml version="1.0" encoding="utf-8"?>
<sst xmlns="http://schemas.openxmlformats.org/spreadsheetml/2006/main" count="1490" uniqueCount="190">
  <si>
    <t>Invoice No</t>
  </si>
  <si>
    <t>Issue Date</t>
  </si>
  <si>
    <t>Buyer Reference</t>
  </si>
  <si>
    <t>Due Date</t>
  </si>
  <si>
    <t>Buyer Name</t>
  </si>
  <si>
    <t>Buyer Address</t>
  </si>
  <si>
    <t>Seller Name</t>
  </si>
  <si>
    <t>Seller Address</t>
  </si>
  <si>
    <t>Shipper Name</t>
  </si>
  <si>
    <t>Shipper Address</t>
  </si>
  <si>
    <t>Port of Loading</t>
  </si>
  <si>
    <t>Port of Destination</t>
  </si>
  <si>
    <t>Date of Loading</t>
  </si>
  <si>
    <t>Shipment Type</t>
  </si>
  <si>
    <t>Payment Terms</t>
  </si>
  <si>
    <t>Incoterms</t>
  </si>
  <si>
    <t>Currency</t>
  </si>
  <si>
    <t>Product Name</t>
  </si>
  <si>
    <t>Specifications</t>
  </si>
  <si>
    <t>Cartons</t>
  </si>
  <si>
    <t>KG/Carton</t>
  </si>
  <si>
    <t>Unit Price (USD/KG)</t>
  </si>
  <si>
    <t>Bank Details</t>
  </si>
  <si>
    <t>Additional Info</t>
  </si>
  <si>
    <t>合同编号</t>
  </si>
  <si>
    <t>开票日期 (YYYY-MM-DD)</t>
  </si>
  <si>
    <t>买方参考号</t>
  </si>
  <si>
    <t>到期日 (YYYY-MM-DD)</t>
  </si>
  <si>
    <t>买方公司名称</t>
  </si>
  <si>
    <t>买方地址</t>
  </si>
  <si>
    <t>卖方公司名称</t>
  </si>
  <si>
    <t>卖方地址</t>
  </si>
  <si>
    <t>发货方名称</t>
  </si>
  <si>
    <t>发货方地址</t>
  </si>
  <si>
    <t>装货港</t>
  </si>
  <si>
    <t>目的港</t>
  </si>
  <si>
    <t>装货日期</t>
  </si>
  <si>
    <t>运输方式</t>
  </si>
  <si>
    <t>付款方式</t>
  </si>
  <si>
    <t>贸易术语</t>
  </si>
  <si>
    <t>结算货币</t>
  </si>
  <si>
    <t>产品名称</t>
  </si>
  <si>
    <t>产品规格（可含换行，用 | 分隔）</t>
  </si>
  <si>
    <t>箱数</t>
  </si>
  <si>
    <t>每箱净重 (KG)</t>
  </si>
  <si>
    <t>单价 (USD/KG)</t>
  </si>
  <si>
    <t>银行信息（可含换行，用 | 分隔）</t>
  </si>
  <si>
    <t>附加说明</t>
  </si>
  <si>
    <t>IFBSC-2026010</t>
  </si>
  <si>
    <t>INDIAN FOOD AND BEVERAGES FZ LLC</t>
  </si>
  <si>
    <t>312, LATIFA TOWER, TRADE CENTRE FIRST, POST BOX 252150, DUBAI, UNITED ARAB EMIRATES.</t>
  </si>
  <si>
    <t>SEACUBE LIMITED</t>
  </si>
  <si>
    <t>ROOM B, 15/F, KIN HING INDUSTRIAL BUILDING, 17-23 SHEK KIN STREET, KWAI CHUNG, HongKong</t>
  </si>
  <si>
    <t>MAOMING HAIYI FOODS CO., LTD.</t>
  </si>
  <si>
    <t>QIJING TOWN, HIGH TECH INDUSTRIAL DEVELOPMENT ZONE, MAOMING CITY, GUANGDONG PROVINCE, CHINA</t>
  </si>
  <si>
    <t>Any port of China</t>
  </si>
  <si>
    <t>Tema, Ghana</t>
  </si>
  <si>
    <t>April 10th</t>
  </si>
  <si>
    <t>Sea</t>
  </si>
  <si>
    <t>TT 10% prepayment, balance 90% paid against copy of B/L</t>
  </si>
  <si>
    <t>CFR Tema, Ghana</t>
  </si>
  <si>
    <t>USD</t>
  </si>
  <si>
    <t>Frozen Black Tilapia Whole Round (Oreochromis niloticus)</t>
  </si>
  <si>
    <t>A Grade Tilapia|Size: 600-900 g|Packing: 20 kg/ctn (2 x 10 kg blocks), 3 strips band|Block: &lt;15 pcs per 10 kg block|Net Weight: 90% N.W.</t>
  </si>
  <si>
    <t>1370</t>
  </si>
  <si>
    <t>20</t>
  </si>
  <si>
    <t>Dispute Resolution: Any disputes arising from this contract shall be resolved through friendly negotiation.</t>
  </si>
  <si>
    <t xml:space="preserve">SEACUBE LIMITED
</t>
  </si>
  <si>
    <t>Room B, 15/F, Kin Hing Industrial Building, 17-23 Shek Kin Street, Kwai Chung, HongKong</t>
  </si>
  <si>
    <t>PROFORMA INVOICE</t>
  </si>
  <si>
    <t>Seller</t>
  </si>
  <si>
    <t>Pages 1 of 1</t>
  </si>
  <si>
    <t>Buyer</t>
  </si>
  <si>
    <t>Shipper</t>
  </si>
  <si>
    <t>312, LATIFA TOWER, TRADE CENTRE FIRST, POST BOX 252150, DUBAI,
UNITED ARAB EMIRATES.</t>
  </si>
  <si>
    <t>Term/Method of Payment</t>
  </si>
  <si>
    <t xml:space="preserve"> TT 10% prepayment, balance 90% paid against copy of B/L</t>
  </si>
  <si>
    <t>Shippment Type</t>
  </si>
  <si>
    <t>Product</t>
  </si>
  <si>
    <t>Quantity</t>
  </si>
  <si>
    <t>Unit Price (USD/KGs)</t>
  </si>
  <si>
    <t>Amount</t>
  </si>
  <si>
    <t>Weight (KGs)</t>
  </si>
  <si>
    <t xml:space="preserve">Frozen Black Tilapia Whole Round (Oreochromis niloticus)	
	</t>
  </si>
  <si>
    <t>A Grade Tilapia
Size: 600–900 g
Packing: 20 kg/ctn (2 × 10 kg blocks), 3 strips band
Block: &lt;15 pcs per 10 kg block
Net Weight: 90% N.W.</t>
  </si>
  <si>
    <t>Total</t>
  </si>
  <si>
    <t xml:space="preserve">Dispute Resolution: Any disputes arising from this contract shall be resolved through friendly negotiation.
</t>
  </si>
  <si>
    <t>Beneficiary: SeaCube Limited
Bank Name:  CITIBANK N.A.
Bank Address: Champion Tower, Three Garden Road, Central, Hong Kong
Account No: 395717675
SWIFT Code: CITIHKHX (CITIHKHXXXX * If 11 characters are required)</t>
  </si>
  <si>
    <t>Second week of April</t>
  </si>
  <si>
    <t>IFBSC-2026011</t>
  </si>
  <si>
    <t>A Grade Tilapia|Size: 800+ g|Packing: 20 kg/ctn (2 x 10 kg blocks), 3 strips band|Block: 8-11 pcs per 10 kg block|Net Weight: 90% N.W.</t>
  </si>
  <si>
    <t>IFBSC-2026012</t>
  </si>
  <si>
    <t>Third week of April</t>
  </si>
  <si>
    <t>IFBSC-2026013</t>
  </si>
  <si>
    <t>IFBSC-2026014</t>
  </si>
  <si>
    <t>Fourth week of April</t>
  </si>
  <si>
    <t>IFBSC-2026015</t>
  </si>
  <si>
    <t>IFBSC-2026016</t>
  </si>
  <si>
    <t>First week of May</t>
  </si>
  <si>
    <t>IFBSC-2026017</t>
  </si>
  <si>
    <t>IFBSC-2026018</t>
  </si>
  <si>
    <t>Second week of May</t>
  </si>
  <si>
    <t>IFBSC-2026019</t>
  </si>
  <si>
    <t>IFBSC-2026020</t>
  </si>
  <si>
    <t>Third week of May</t>
  </si>
  <si>
    <t>IFBSC-2026021</t>
  </si>
  <si>
    <t>IFBSC-2026022</t>
  </si>
  <si>
    <t>Fourth week of May</t>
  </si>
  <si>
    <t>IFBSC-2026023</t>
  </si>
  <si>
    <t>IFBSC-2026024</t>
  </si>
  <si>
    <t>First week of June</t>
  </si>
  <si>
    <t>IFBSC-2026025</t>
  </si>
  <si>
    <t>IFBSC-2026026</t>
  </si>
  <si>
    <t>Second week of June</t>
  </si>
  <si>
    <t>IFBSC-2026027</t>
  </si>
  <si>
    <t>IFBSC-2026028</t>
  </si>
  <si>
    <t>Third week of June</t>
  </si>
  <si>
    <t>IFBSC-2026029</t>
  </si>
  <si>
    <t>IFBSC-2026030</t>
  </si>
  <si>
    <t>First week of April</t>
  </si>
  <si>
    <t xml:space="preserve">Frozen whole round tilapia,BQF,bulk,1x10kg/carton with 2 straps, 100%N.W, 0%glaze, Grade A+(100% alive fish for production)|size:400-600g(no more than 18 pcs per carton) </t>
  </si>
  <si>
    <t xml:space="preserve">Frozen whole round tilapia,BQF,bulk,1x10kg/carton with 2 straps, 100%N.W, 0%glaze, Grade A+(100% alive fish for production)|size:600-800g(no more than 14 pcs per carton) </t>
  </si>
  <si>
    <t>Frozen whole round tilapia,BQF,bulk,1x10kg/carton with 2 straps, 100%N.W, 0%glaze, Grade A+(100% alive fish for production)|size:800g up(no more than 11 pcs per carton)</t>
  </si>
  <si>
    <t>IFBSC-2026031</t>
  </si>
  <si>
    <t>IFBSC-2026032</t>
  </si>
  <si>
    <t>IFBSC-2026033</t>
  </si>
  <si>
    <t>ROOM B, 15/F, KIN HING INDUSTRIAL BUILDING, 17-24 SHEK KIN STREET, KWAI CHUNG, HongKong</t>
  </si>
  <si>
    <t>ROOM B, 15/F, KIN HING INDUSTRIAL BUILDING, 17-25 SHEK KIN STREET, KWAI CHUNG, HongKong</t>
  </si>
  <si>
    <t>ROOM B, 15/F, KIN HING INDUSTRIAL BUILDING, 17-26 SHEK KIN STREET, KWAI CHUNG, HongKong</t>
  </si>
  <si>
    <t>ROOM B, 15/F, KIN HING INDUSTRIAL BUILDING, 17-27 SHEK KIN STREET, KWAI CHUNG, HongKong</t>
  </si>
  <si>
    <t>ROOM B, 15/F, KIN HING INDUSTRIAL BUILDING, 17-28 SHEK KIN STREET, KWAI CHUNG, HongKong</t>
  </si>
  <si>
    <t>ROOM B, 15/F, KIN HING INDUSTRIAL BUILDING, 17-29 SHEK KIN STREET, KWAI CHUNG, HongKong</t>
  </si>
  <si>
    <t>ROOM B, 15/F, KIN HING INDUSTRIAL BUILDING, 17-30 SHEK KIN STREET, KWAI CHUNG, HongKong</t>
  </si>
  <si>
    <t>ROOM B, 15/F, KIN HING INDUSTRIAL BUILDING, 17-31 SHEK KIN STREET, KWAI CHUNG, HongKong</t>
  </si>
  <si>
    <t>ROOM B, 15/F, KIN HING INDUSTRIAL BUILDING, 17-32 SHEK KIN STREET, KWAI CHUNG, HongKong</t>
  </si>
  <si>
    <t>ROOM B, 15/F, KIN HING INDUSTRIAL BUILDING, 17-33 SHEK KIN STREET, KWAI CHUNG, HongKong</t>
  </si>
  <si>
    <t>ROOM B, 15/F, KIN HING INDUSTRIAL BUILDING, 17-34 SHEK KIN STREET, KWAI CHUNG, HongKong</t>
  </si>
  <si>
    <t>ROOM B, 15/F, KIN HING INDUSTRIAL BUILDING, 17-35 SHEK KIN STREET, KWAI CHUNG, HongKong</t>
  </si>
  <si>
    <t>ROOM B, 15/F, KIN HING INDUSTRIAL BUILDING, 17-36 SHEK KIN STREET, KWAI CHUNG, HongKong</t>
  </si>
  <si>
    <t>ROOM B, 15/F, KIN HING INDUSTRIAL BUILDING, 17-37 SHEK KIN STREET, KWAI CHUNG, HongKong</t>
  </si>
  <si>
    <t>ROOM B, 15/F, KIN HING INDUSTRIAL BUILDING, 17-38 SHEK KIN STREET, KWAI CHUNG, HongKong</t>
  </si>
  <si>
    <t>ROOM B, 15/F, KIN HING INDUSTRIAL BUILDING, 17-39 SHEK KIN STREET, KWAI CHUNG, HongKong</t>
  </si>
  <si>
    <t>ROOM B, 15/F, KIN HING INDUSTRIAL BUILDING, 17-40 SHEK KIN STREET, KWAI CHUNG, HongKong</t>
  </si>
  <si>
    <t>ROOM B, 15/F, KIN HING INDUSTRIAL BUILDING, 17-41 SHEK KIN STREET, KWAI CHUNG, HongKong</t>
  </si>
  <si>
    <t>ROOM B, 15/F, KIN HING INDUSTRIAL BUILDING, 17-42 SHEK KIN STREET, KWAI CHUNG, HongKong</t>
  </si>
  <si>
    <t>Dakar</t>
    <phoneticPr fontId="2" type="noConversion"/>
  </si>
  <si>
    <t>CFR Dakar</t>
    <phoneticPr fontId="2" type="noConversion"/>
  </si>
  <si>
    <t>IFBSC-2026034</t>
    <phoneticPr fontId="2" type="noConversion"/>
  </si>
  <si>
    <t>TT 0% prepayment, balance 100% paid against copy of B/L</t>
    <phoneticPr fontId="2" type="noConversion"/>
  </si>
  <si>
    <t>A grade, processed withlive fish, China origin, BQF, 500g-800g/pc, size after glazing, 90%N.W, 10kgs block X 2/master carton(max 14pcs per 10kg block)</t>
    <phoneticPr fontId="2" type="noConversion"/>
  </si>
  <si>
    <t>IFBSC-2026035</t>
    <phoneticPr fontId="2" type="noConversion"/>
  </si>
  <si>
    <t>Second week of April</t>
    <phoneticPr fontId="2" type="noConversion"/>
  </si>
  <si>
    <t>MGSC-2026003</t>
    <phoneticPr fontId="2" type="noConversion"/>
  </si>
  <si>
    <t xml:space="preserve">M&amp;G SEAFOOD LLC </t>
    <phoneticPr fontId="2" type="noConversion"/>
  </si>
  <si>
    <t>2 S Biscayne Boulevard Suite 3200 #3044, Miami, Florida, 33131 United States, EIN: 320635748</t>
    <phoneticPr fontId="2" type="noConversion"/>
  </si>
  <si>
    <t>First week of April</t>
    <phoneticPr fontId="2" type="noConversion"/>
  </si>
  <si>
    <t>Sea</t>
    <phoneticPr fontId="2" type="noConversion"/>
  </si>
  <si>
    <t>TT 2000USD prepayment, balance paid against copy of B/L</t>
    <phoneticPr fontId="2" type="noConversion"/>
  </si>
  <si>
    <t>CIF Buenaventura</t>
    <phoneticPr fontId="2" type="noConversion"/>
  </si>
  <si>
    <t>TILAPIA FILLET</t>
    <phoneticPr fontId="2" type="noConversion"/>
  </si>
  <si>
    <t xml:space="preserve">Skinless, boneless, normal trimmed, STPP treated, CO treated, 3/5 oz before glazing, 40% glazing, IVP, IQF, 10KG/carton	</t>
    <phoneticPr fontId="2" type="noConversion"/>
  </si>
  <si>
    <t xml:space="preserve">Skinless, boneless, normal trimmed, STPP treated, CO treated, 5/7 oz before glazing, 40% glazing, IVP, IQF, 10KG/carton	</t>
    <phoneticPr fontId="2" type="noConversion"/>
  </si>
  <si>
    <t xml:space="preserve">Skinless, boneless, normal trimmed, STPP treated, CO treated, 7/9 oz before glazing, 40% glazing, IVP, IQF, 10KG/carton	</t>
    <phoneticPr fontId="2" type="noConversion"/>
  </si>
  <si>
    <t>MGSC-2026004</t>
    <phoneticPr fontId="2" type="noConversion"/>
  </si>
  <si>
    <t>MGSC-2026005</t>
    <phoneticPr fontId="2" type="noConversion"/>
  </si>
  <si>
    <t>Third week of April</t>
    <phoneticPr fontId="2" type="noConversion"/>
  </si>
  <si>
    <t>MGSC-2026006</t>
    <phoneticPr fontId="2" type="noConversion"/>
  </si>
  <si>
    <t>MGSC-2026007</t>
    <phoneticPr fontId="2" type="noConversion"/>
  </si>
  <si>
    <t>Fourth week of April</t>
    <phoneticPr fontId="2" type="noConversion"/>
  </si>
  <si>
    <t>First week of May</t>
    <phoneticPr fontId="2" type="noConversion"/>
  </si>
  <si>
    <t>MGSC-2026008</t>
    <phoneticPr fontId="2" type="noConversion"/>
  </si>
  <si>
    <t>Beneficiary: MAOMING HAIYI FOODS CO., LTD.|Bank Name: THE AGRICULTURAL BANK OF CHINA, GUANGDONG, MAOMING BRANCH, DIANBAI SUB-BRANCH.|Bank Address: 126 RENMINZHONG ROAD SHUIDONG TOWN DIANBAI, MAOMING, GUANGDONG PROVINCE P.R. CHINA|Account No: 44578014040000609|SWIFT Code: ABOCCNBJ190</t>
    <phoneticPr fontId="2" type="noConversion"/>
  </si>
  <si>
    <t>Beneficiary: SeaCube Limited|Bank Name: CITIBANK N.A.|Bank Address: Champion Tower, Three Garden Road, Central, Hong Kong|Account No: 395717675|SWIFT Code: CITIHKHX (CITIHKHXXXX * If 11 characters are required)</t>
    <phoneticPr fontId="2" type="noConversion"/>
  </si>
  <si>
    <t>BUENAVENTURA</t>
  </si>
  <si>
    <t>ALI-2026005</t>
    <phoneticPr fontId="2" type="noConversion"/>
  </si>
  <si>
    <t>ALITRADE GROUP S.A.</t>
    <phoneticPr fontId="2" type="noConversion"/>
  </si>
  <si>
    <t>AVE SAMUEL LEWIS Y CALLE 54E, BELLA VISTA, PANAMA
RUC: 155727829-2-2022</t>
    <phoneticPr fontId="2" type="noConversion"/>
  </si>
  <si>
    <t>ALI-2026006</t>
    <phoneticPr fontId="2" type="noConversion"/>
  </si>
  <si>
    <t>ALI-2026007</t>
    <phoneticPr fontId="2" type="noConversion"/>
  </si>
  <si>
    <t>ALI-2026008</t>
    <phoneticPr fontId="2" type="noConversion"/>
  </si>
  <si>
    <t>ALI-2026009</t>
    <phoneticPr fontId="2" type="noConversion"/>
  </si>
  <si>
    <t>ALI-2026010</t>
    <phoneticPr fontId="2" type="noConversion"/>
  </si>
  <si>
    <t>Second week of May</t>
    <phoneticPr fontId="2" type="noConversion"/>
  </si>
  <si>
    <t>Invoice No</t>
    <phoneticPr fontId="2" type="noConversion"/>
  </si>
  <si>
    <t>Issue Date</t>
    <phoneticPr fontId="2" type="noConversion"/>
  </si>
  <si>
    <t>Buyer Name</t>
    <phoneticPr fontId="2" type="noConversion"/>
  </si>
  <si>
    <t>Port of Destination</t>
    <phoneticPr fontId="2" type="noConversion"/>
  </si>
  <si>
    <t>Date of Loading</t>
    <phoneticPr fontId="2" type="noConversion"/>
  </si>
  <si>
    <t>Incoterms</t>
    <phoneticPr fontId="2" type="noConversion"/>
  </si>
  <si>
    <t>BUENAVENTURA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</si>
</sst>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26" formatCode="\$#,##0.00_);[Red]\(\$#,##0.00\)"/>
    <numFmt numFmtId="176" formatCode="0_);[Red]\(0\)"/>
    <numFmt numFmtId="177" formatCode="_(&quot;$&quot;* #,##0.00_);_(&quot;$&quot;* \(#,##0.00\);_(&quot;$&quot;* &quot;-&quot;??_);_(@_)"/>
    <numFmt numFmtId="178" formatCode="&quot;$&quot;#,##0.00"/>
    <numFmt numFmtId="179" formatCode="yyyy\-mm\-dd;@"/>
  </numFmts>
  <fonts count="47">
    <font>
      <sz val="12"/>
      <color theme="1"/>
      <name val="等线"/>
      <family val="2"/>
      <charset val="134"/>
      <scheme val="minor"/>
    </font>
    <font>
      <sz val="10"/>
      <name val="Arial"/>
      <family val="2"/>
    </font>
    <font>
      <sz val="9"/>
      <name val="等线"/>
      <family val="2"/>
      <charset val="134"/>
      <scheme val="minor"/>
    </font>
    <font>
      <sz val="10"/>
      <color theme="0"/>
      <name val="等线"/>
      <family val="2"/>
      <scheme val="minor"/>
    </font>
    <font>
      <sz val="10"/>
      <name val="等线"/>
      <family val="2"/>
      <scheme val="minor"/>
    </font>
    <font>
      <sz val="10"/>
      <color theme="1" tint="0.14999847407452621"/>
      <name val="等线"/>
      <family val="2"/>
      <scheme val="minor"/>
    </font>
    <font>
      <sz val="10"/>
      <color theme="0"/>
      <name val="等线 Light"/>
      <family val="1"/>
      <scheme val="major"/>
    </font>
    <font>
      <b/>
      <sz val="36"/>
      <name val="Garamond"/>
      <family val="1"/>
    </font>
    <font>
      <sz val="10"/>
      <color theme="1" tint="0.14999847407452621"/>
      <name val="等线 Light"/>
      <family val="1"/>
      <scheme val="major"/>
    </font>
    <font>
      <b/>
      <sz val="16"/>
      <name val="Garamond"/>
      <family val="1"/>
    </font>
    <font>
      <b/>
      <sz val="14"/>
      <color theme="5"/>
      <name val="等线 Light"/>
      <family val="2"/>
      <scheme val="major"/>
    </font>
    <font>
      <sz val="18"/>
      <name val="等线"/>
      <family val="2"/>
      <scheme val="minor"/>
    </font>
    <font>
      <sz val="8"/>
      <name val="等线"/>
      <family val="2"/>
      <scheme val="minor"/>
    </font>
    <font>
      <b/>
      <sz val="18"/>
      <name val="等线 Light"/>
      <family val="1"/>
      <scheme val="major"/>
    </font>
    <font>
      <b/>
      <sz val="11"/>
      <name val="等线 Light"/>
      <family val="1"/>
      <scheme val="major"/>
    </font>
    <font>
      <sz val="10"/>
      <color theme="1" tint="0.34998626667073579"/>
      <name val="等线"/>
      <family val="2"/>
      <scheme val="minor"/>
    </font>
    <font>
      <i/>
      <sz val="10"/>
      <name val="等线 Light"/>
      <family val="1"/>
      <scheme val="major"/>
    </font>
    <font>
      <sz val="10"/>
      <name val="Univers"/>
      <family val="2"/>
    </font>
    <font>
      <sz val="10"/>
      <name val="Univers"/>
      <family val="2"/>
      <charset val="1"/>
    </font>
    <font>
      <b/>
      <sz val="10"/>
      <name val="Univers"/>
      <family val="2"/>
      <charset val="1"/>
    </font>
    <font>
      <sz val="11"/>
      <color theme="0"/>
      <name val="等线"/>
      <family val="2"/>
      <scheme val="minor"/>
    </font>
    <font>
      <sz val="8"/>
      <color theme="1" tint="0.14999847407452621"/>
      <name val="等线"/>
      <family val="2"/>
      <scheme val="minor"/>
    </font>
    <font>
      <sz val="8"/>
      <color theme="0"/>
      <name val="等线"/>
      <family val="2"/>
      <scheme val="minor"/>
    </font>
    <font>
      <sz val="10"/>
      <name val="等线 Light"/>
      <family val="1"/>
      <scheme val="major"/>
    </font>
    <font>
      <b/>
      <sz val="10"/>
      <color theme="5"/>
      <name val="等线"/>
      <family val="2"/>
      <scheme val="minor"/>
    </font>
    <font>
      <sz val="10"/>
      <name val="Univers"/>
    </font>
    <font>
      <sz val="8"/>
      <color theme="0"/>
      <name val="等线 Light"/>
      <family val="1"/>
      <scheme val="major"/>
    </font>
    <font>
      <sz val="10"/>
      <color rgb="FF000000"/>
      <name val="Univers"/>
      <family val="2"/>
      <charset val="1"/>
    </font>
    <font>
      <sz val="8"/>
      <color theme="1" tint="0.14999847407452621"/>
      <name val="等线 Light"/>
      <family val="1"/>
      <scheme val="major"/>
    </font>
    <font>
      <b/>
      <sz val="9"/>
      <name val="Univers"/>
      <family val="2"/>
      <charset val="1"/>
    </font>
    <font>
      <b/>
      <sz val="8"/>
      <color theme="0"/>
      <name val="等线"/>
      <family val="2"/>
      <scheme val="minor"/>
    </font>
    <font>
      <b/>
      <sz val="8"/>
      <color theme="1" tint="0.14999847407452621"/>
      <name val="等线"/>
      <family val="2"/>
      <scheme val="minor"/>
    </font>
    <font>
      <sz val="10"/>
      <color theme="1" tint="0.14999847407452621"/>
      <name val="Univers"/>
      <family val="2"/>
      <charset val="1"/>
    </font>
    <font>
      <b/>
      <sz val="16"/>
      <name val="Univers"/>
      <family val="2"/>
      <charset val="1"/>
    </font>
    <font>
      <sz val="8"/>
      <name val="Univers"/>
      <family val="2"/>
      <charset val="1"/>
    </font>
    <font>
      <b/>
      <sz val="18"/>
      <name val="Univers"/>
      <family val="2"/>
      <charset val="1"/>
    </font>
    <font>
      <b/>
      <sz val="11"/>
      <name val="Univers"/>
      <family val="2"/>
      <charset val="1"/>
    </font>
    <font>
      <b/>
      <sz val="18"/>
      <name val="Garamond"/>
      <family val="1"/>
    </font>
    <font>
      <sz val="8"/>
      <name val="Univers"/>
    </font>
    <font>
      <sz val="10"/>
      <color theme="1" tint="0.14999847407452621"/>
      <name val="Univers"/>
    </font>
    <font>
      <b/>
      <sz val="18"/>
      <name val="Univers"/>
    </font>
    <font>
      <b/>
      <sz val="11"/>
      <name val="Univers"/>
    </font>
    <font>
      <sz val="11"/>
      <name val="Univers"/>
      <family val="2"/>
      <charset val="1"/>
    </font>
    <font>
      <b/>
      <sz val="11"/>
      <name val="Garamond"/>
      <family val="1"/>
    </font>
    <font>
      <b/>
      <sz val="11"/>
      <color rgb="FFFFFFFF"/>
      <name val="等线"/>
      <family val="4"/>
      <charset val="134"/>
    </font>
    <font>
      <i/>
      <sz val="9"/>
      <color rgb="FF555555"/>
      <name val="等线"/>
      <family val="4"/>
      <charset val="134"/>
    </font>
    <font>
      <sz val="12"/>
      <color rgb="FF000000"/>
      <name val="等线"/>
      <family val="4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AF4FB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AF4FB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8">
    <xf numFmtId="0" fontId="0" fillId="0" borderId="0">
      <alignment vertical="center"/>
    </xf>
    <xf numFmtId="0" fontId="1" fillId="0" borderId="0"/>
    <xf numFmtId="0" fontId="10" fillId="0" borderId="0">
      <alignment horizontal="left" vertical="center"/>
    </xf>
    <xf numFmtId="0" fontId="15" fillId="0" borderId="0">
      <alignment horizontal="left" vertical="center"/>
    </xf>
    <xf numFmtId="0" fontId="24" fillId="0" borderId="0">
      <alignment horizontal="right" vertical="top"/>
    </xf>
    <xf numFmtId="0" fontId="4" fillId="0" borderId="0">
      <alignment horizontal="left"/>
    </xf>
    <xf numFmtId="0" fontId="24" fillId="0" borderId="0">
      <alignment vertical="center"/>
    </xf>
    <xf numFmtId="0" fontId="15" fillId="0" borderId="0">
      <alignment horizontal="left" vertical="center"/>
    </xf>
  </cellStyleXfs>
  <cellXfs count="144">
    <xf numFmtId="0" fontId="0" fillId="0" borderId="0" xfId="0">
      <alignment vertical="center"/>
    </xf>
    <xf numFmtId="0" fontId="3" fillId="2" borderId="0" xfId="1" applyFont="1" applyFill="1" applyAlignment="1">
      <alignment wrapText="1"/>
    </xf>
    <xf numFmtId="0" fontId="4" fillId="2" borderId="0" xfId="1" applyFont="1" applyFill="1"/>
    <xf numFmtId="0" fontId="5" fillId="2" borderId="0" xfId="1" applyFont="1" applyFill="1"/>
    <xf numFmtId="0" fontId="6" fillId="2" borderId="0" xfId="1" applyFont="1" applyFill="1" applyAlignment="1">
      <alignment vertical="top" wrapText="1"/>
    </xf>
    <xf numFmtId="0" fontId="8" fillId="2" borderId="0" xfId="1" applyFont="1" applyFill="1" applyAlignment="1">
      <alignment vertical="top"/>
    </xf>
    <xf numFmtId="0" fontId="11" fillId="2" borderId="2" xfId="2" applyFont="1" applyFill="1" applyBorder="1">
      <alignment horizontal="left" vertical="center"/>
    </xf>
    <xf numFmtId="0" fontId="11" fillId="2" borderId="3" xfId="2" applyFont="1" applyFill="1" applyBorder="1">
      <alignment horizontal="left" vertical="center"/>
    </xf>
    <xf numFmtId="0" fontId="11" fillId="2" borderId="4" xfId="2" applyFont="1" applyFill="1" applyBorder="1">
      <alignment horizontal="left" vertical="center"/>
    </xf>
    <xf numFmtId="0" fontId="5" fillId="2" borderId="3" xfId="1" applyFont="1" applyFill="1" applyBorder="1" applyAlignment="1">
      <alignment horizontal="left"/>
    </xf>
    <xf numFmtId="0" fontId="5" fillId="2" borderId="4" xfId="1" applyFont="1" applyFill="1" applyBorder="1" applyAlignment="1">
      <alignment horizontal="left"/>
    </xf>
    <xf numFmtId="0" fontId="6" fillId="2" borderId="0" xfId="1" applyFont="1" applyFill="1" applyAlignment="1">
      <alignment wrapText="1"/>
    </xf>
    <xf numFmtId="0" fontId="13" fillId="2" borderId="0" xfId="2" applyFont="1" applyFill="1">
      <alignment horizontal="left" vertical="center"/>
    </xf>
    <xf numFmtId="0" fontId="13" fillId="2" borderId="6" xfId="2" applyFont="1" applyFill="1" applyBorder="1">
      <alignment horizontal="left" vertical="center"/>
    </xf>
    <xf numFmtId="0" fontId="14" fillId="2" borderId="0" xfId="1" applyFont="1" applyFill="1" applyAlignment="1">
      <alignment horizontal="left" vertical="center"/>
    </xf>
    <xf numFmtId="0" fontId="14" fillId="2" borderId="6" xfId="1" applyFont="1" applyFill="1" applyBorder="1" applyAlignment="1">
      <alignment horizontal="left" vertical="center"/>
    </xf>
    <xf numFmtId="0" fontId="8" fillId="2" borderId="0" xfId="1" applyFont="1" applyFill="1"/>
    <xf numFmtId="0" fontId="20" fillId="2" borderId="0" xfId="1" applyFont="1" applyFill="1" applyAlignment="1">
      <alignment vertical="center" wrapText="1"/>
    </xf>
    <xf numFmtId="0" fontId="5" fillId="2" borderId="0" xfId="1" applyFont="1" applyFill="1" applyAlignment="1">
      <alignment vertical="top"/>
    </xf>
    <xf numFmtId="0" fontId="12" fillId="2" borderId="2" xfId="1" applyFont="1" applyFill="1" applyBorder="1" applyAlignment="1">
      <alignment horizontal="left"/>
    </xf>
    <xf numFmtId="0" fontId="21" fillId="2" borderId="0" xfId="1" applyFont="1" applyFill="1"/>
    <xf numFmtId="0" fontId="22" fillId="2" borderId="0" xfId="1" applyFont="1" applyFill="1" applyAlignment="1">
      <alignment wrapText="1"/>
    </xf>
    <xf numFmtId="0" fontId="23" fillId="2" borderId="0" xfId="1" applyFont="1" applyFill="1" applyAlignment="1">
      <alignment horizontal="left" vertical="center"/>
    </xf>
    <xf numFmtId="0" fontId="23" fillId="2" borderId="6" xfId="1" applyFont="1" applyFill="1" applyBorder="1" applyAlignment="1">
      <alignment horizontal="left" vertical="center"/>
    </xf>
    <xf numFmtId="0" fontId="25" fillId="2" borderId="2" xfId="4" applyFont="1" applyFill="1" applyBorder="1" applyAlignment="1">
      <alignment horizontal="left" vertical="center"/>
    </xf>
    <xf numFmtId="0" fontId="26" fillId="2" borderId="0" xfId="1" applyFont="1" applyFill="1" applyAlignment="1">
      <alignment wrapText="1"/>
    </xf>
    <xf numFmtId="0" fontId="28" fillId="2" borderId="0" xfId="1" applyFont="1" applyFill="1"/>
    <xf numFmtId="0" fontId="30" fillId="2" borderId="0" xfId="1" applyFont="1" applyFill="1" applyAlignment="1">
      <alignment wrapText="1"/>
    </xf>
    <xf numFmtId="0" fontId="31" fillId="2" borderId="0" xfId="1" applyFont="1" applyFill="1"/>
    <xf numFmtId="0" fontId="25" fillId="2" borderId="5" xfId="1" applyFont="1" applyFill="1" applyBorder="1" applyAlignment="1">
      <alignment horizontal="left" vertical="center"/>
    </xf>
    <xf numFmtId="0" fontId="0" fillId="0" borderId="0" xfId="0" applyAlignment="1"/>
    <xf numFmtId="0" fontId="32" fillId="2" borderId="3" xfId="1" applyFont="1" applyFill="1" applyBorder="1" applyAlignment="1">
      <alignment horizontal="left"/>
    </xf>
    <xf numFmtId="0" fontId="36" fillId="2" borderId="0" xfId="1" applyFont="1" applyFill="1" applyAlignment="1">
      <alignment horizontal="left" vertical="center"/>
    </xf>
    <xf numFmtId="0" fontId="18" fillId="2" borderId="7" xfId="1" applyFont="1" applyFill="1" applyBorder="1" applyAlignment="1">
      <alignment horizontal="left" vertical="top" wrapText="1"/>
    </xf>
    <xf numFmtId="0" fontId="34" fillId="2" borderId="2" xfId="1" applyFont="1" applyFill="1" applyBorder="1" applyAlignment="1">
      <alignment horizontal="left"/>
    </xf>
    <xf numFmtId="0" fontId="18" fillId="2" borderId="0" xfId="1" applyFont="1" applyFill="1" applyAlignment="1">
      <alignment horizontal="left" vertical="center"/>
    </xf>
    <xf numFmtId="0" fontId="34" fillId="2" borderId="6" xfId="1" applyFont="1" applyFill="1" applyBorder="1" applyAlignment="1">
      <alignment horizontal="left"/>
    </xf>
    <xf numFmtId="176" fontId="27" fillId="0" borderId="12" xfId="1" applyNumberFormat="1" applyFont="1" applyBorder="1" applyAlignment="1">
      <alignment horizontal="center" vertical="center" wrapText="1" shrinkToFit="1"/>
    </xf>
    <xf numFmtId="176" fontId="27" fillId="0" borderId="13" xfId="1" applyNumberFormat="1" applyFont="1" applyBorder="1" applyAlignment="1">
      <alignment horizontal="center" vertical="center" wrapText="1" shrinkToFit="1"/>
    </xf>
    <xf numFmtId="0" fontId="32" fillId="2" borderId="1" xfId="1" applyFont="1" applyFill="1" applyBorder="1" applyAlignment="1">
      <alignment horizontal="center" vertical="center"/>
    </xf>
    <xf numFmtId="0" fontId="18" fillId="2" borderId="1" xfId="1" applyFont="1" applyFill="1" applyBorder="1" applyAlignment="1">
      <alignment horizontal="center" vertical="center"/>
    </xf>
    <xf numFmtId="26" fontId="18" fillId="2" borderId="1" xfId="5" applyNumberFormat="1" applyFont="1" applyFill="1" applyBorder="1" applyAlignment="1">
      <alignment horizontal="center" vertical="center"/>
    </xf>
    <xf numFmtId="0" fontId="18" fillId="2" borderId="6" xfId="1" applyFont="1" applyFill="1" applyBorder="1" applyAlignment="1">
      <alignment horizontal="left" vertical="center" wrapText="1"/>
    </xf>
    <xf numFmtId="177" fontId="19" fillId="2" borderId="3" xfId="1" applyNumberFormat="1" applyFont="1" applyFill="1" applyBorder="1" applyAlignment="1">
      <alignment horizontal="left" vertical="center"/>
    </xf>
    <xf numFmtId="178" fontId="18" fillId="2" borderId="4" xfId="1" applyNumberFormat="1" applyFont="1" applyFill="1" applyBorder="1" applyAlignment="1">
      <alignment horizontal="left" vertical="center"/>
    </xf>
    <xf numFmtId="43" fontId="18" fillId="2" borderId="0" xfId="1" applyNumberFormat="1" applyFont="1" applyFill="1" applyAlignment="1">
      <alignment horizontal="left" vertical="top"/>
    </xf>
    <xf numFmtId="43" fontId="19" fillId="2" borderId="0" xfId="1" applyNumberFormat="1" applyFont="1" applyFill="1" applyAlignment="1">
      <alignment horizontal="left" vertical="center"/>
    </xf>
    <xf numFmtId="178" fontId="18" fillId="2" borderId="6" xfId="1" applyNumberFormat="1" applyFont="1" applyFill="1" applyBorder="1" applyAlignment="1">
      <alignment horizontal="left" vertical="center"/>
    </xf>
    <xf numFmtId="177" fontId="19" fillId="2" borderId="5" xfId="1" applyNumberFormat="1" applyFont="1" applyFill="1" applyBorder="1" applyAlignment="1">
      <alignment horizontal="left" vertical="center"/>
    </xf>
    <xf numFmtId="177" fontId="19" fillId="2" borderId="0" xfId="1" applyNumberFormat="1" applyFont="1" applyFill="1" applyAlignment="1">
      <alignment horizontal="left" vertical="center"/>
    </xf>
    <xf numFmtId="0" fontId="34" fillId="2" borderId="0" xfId="1" applyFont="1" applyFill="1" applyAlignment="1">
      <alignment horizontal="left"/>
    </xf>
    <xf numFmtId="43" fontId="19" fillId="2" borderId="5" xfId="1" applyNumberFormat="1" applyFont="1" applyFill="1" applyBorder="1" applyAlignment="1">
      <alignment horizontal="left" vertical="top"/>
    </xf>
    <xf numFmtId="0" fontId="18" fillId="2" borderId="0" xfId="1" applyFont="1" applyFill="1" applyAlignment="1">
      <alignment wrapText="1"/>
    </xf>
    <xf numFmtId="0" fontId="18" fillId="2" borderId="6" xfId="1" applyFont="1" applyFill="1" applyBorder="1" applyAlignment="1">
      <alignment wrapText="1"/>
    </xf>
    <xf numFmtId="43" fontId="18" fillId="2" borderId="5" xfId="1" applyNumberFormat="1" applyFont="1" applyFill="1" applyBorder="1" applyAlignment="1">
      <alignment horizontal="left" vertical="top"/>
    </xf>
    <xf numFmtId="0" fontId="35" fillId="2" borderId="0" xfId="1" applyFont="1" applyFill="1" applyAlignment="1">
      <alignment vertical="center" wrapText="1"/>
    </xf>
    <xf numFmtId="0" fontId="35" fillId="2" borderId="6" xfId="1" applyFont="1" applyFill="1" applyBorder="1" applyAlignment="1">
      <alignment vertical="center" wrapText="1"/>
    </xf>
    <xf numFmtId="43" fontId="19" fillId="2" borderId="5" xfId="1" applyNumberFormat="1" applyFont="1" applyFill="1" applyBorder="1" applyAlignment="1">
      <alignment horizontal="left" vertical="center"/>
    </xf>
    <xf numFmtId="0" fontId="33" fillId="2" borderId="0" xfId="1" applyFont="1" applyFill="1" applyAlignment="1">
      <alignment vertical="center" wrapText="1"/>
    </xf>
    <xf numFmtId="0" fontId="33" fillId="2" borderId="6" xfId="1" applyFont="1" applyFill="1" applyBorder="1" applyAlignment="1">
      <alignment vertical="center" wrapText="1"/>
    </xf>
    <xf numFmtId="0" fontId="19" fillId="2" borderId="7" xfId="1" applyFont="1" applyFill="1" applyBorder="1" applyAlignment="1">
      <alignment horizontal="left" vertical="center"/>
    </xf>
    <xf numFmtId="0" fontId="19" fillId="2" borderId="9" xfId="1" applyFont="1" applyFill="1" applyBorder="1" applyAlignment="1">
      <alignment horizontal="left" vertical="center"/>
    </xf>
    <xf numFmtId="0" fontId="32" fillId="2" borderId="9" xfId="1" applyFont="1" applyFill="1" applyBorder="1"/>
    <xf numFmtId="0" fontId="32" fillId="2" borderId="8" xfId="1" applyFont="1" applyFill="1" applyBorder="1"/>
    <xf numFmtId="0" fontId="16" fillId="2" borderId="0" xfId="7" applyFont="1" applyFill="1">
      <alignment horizontal="left" vertical="center"/>
    </xf>
    <xf numFmtId="0" fontId="16" fillId="2" borderId="6" xfId="7" applyFont="1" applyFill="1" applyBorder="1">
      <alignment horizontal="left" vertical="center"/>
    </xf>
    <xf numFmtId="0" fontId="18" fillId="2" borderId="6" xfId="1" applyFont="1" applyFill="1" applyBorder="1" applyAlignment="1">
      <alignment horizontal="left" vertical="top" wrapText="1"/>
    </xf>
    <xf numFmtId="0" fontId="18" fillId="2" borderId="9" xfId="1" applyFont="1" applyFill="1" applyBorder="1" applyAlignment="1">
      <alignment horizontal="left" vertical="top" wrapText="1"/>
    </xf>
    <xf numFmtId="0" fontId="37" fillId="2" borderId="5" xfId="2" applyFont="1" applyFill="1" applyBorder="1">
      <alignment horizontal="left" vertical="center"/>
    </xf>
    <xf numFmtId="0" fontId="18" fillId="2" borderId="8" xfId="1" applyFont="1" applyFill="1" applyBorder="1" applyAlignment="1">
      <alignment horizontal="left" vertical="top" wrapText="1"/>
    </xf>
    <xf numFmtId="0" fontId="38" fillId="2" borderId="3" xfId="1" applyFont="1" applyFill="1" applyBorder="1" applyAlignment="1">
      <alignment horizontal="left"/>
    </xf>
    <xf numFmtId="0" fontId="39" fillId="2" borderId="3" xfId="1" applyFont="1" applyFill="1" applyBorder="1" applyAlignment="1">
      <alignment horizontal="left"/>
    </xf>
    <xf numFmtId="0" fontId="39" fillId="2" borderId="4" xfId="1" applyFont="1" applyFill="1" applyBorder="1" applyAlignment="1">
      <alignment horizontal="left"/>
    </xf>
    <xf numFmtId="0" fontId="40" fillId="2" borderId="5" xfId="2" applyFont="1" applyFill="1" applyBorder="1">
      <alignment horizontal="left" vertical="center"/>
    </xf>
    <xf numFmtId="0" fontId="40" fillId="2" borderId="0" xfId="2" applyFont="1" applyFill="1">
      <alignment horizontal="left" vertical="center"/>
    </xf>
    <xf numFmtId="0" fontId="41" fillId="2" borderId="0" xfId="1" applyFont="1" applyFill="1" applyAlignment="1">
      <alignment horizontal="left" vertical="center"/>
    </xf>
    <xf numFmtId="0" fontId="41" fillId="2" borderId="6" xfId="1" applyFont="1" applyFill="1" applyBorder="1" applyAlignment="1">
      <alignment horizontal="left" vertical="center"/>
    </xf>
    <xf numFmtId="0" fontId="42" fillId="2" borderId="2" xfId="1" applyFont="1" applyFill="1" applyBorder="1" applyAlignment="1">
      <alignment horizontal="left" vertical="center"/>
    </xf>
    <xf numFmtId="0" fontId="42" fillId="2" borderId="4" xfId="1" applyFont="1" applyFill="1" applyBorder="1" applyAlignment="1">
      <alignment horizontal="left" vertical="center"/>
    </xf>
    <xf numFmtId="0" fontId="19" fillId="2" borderId="7" xfId="1" applyFont="1" applyFill="1" applyBorder="1" applyAlignment="1">
      <alignment horizontal="left" vertical="center" wrapText="1"/>
    </xf>
    <xf numFmtId="14" fontId="19" fillId="2" borderId="5" xfId="1" applyNumberFormat="1" applyFont="1" applyFill="1" applyBorder="1" applyAlignment="1">
      <alignment horizontal="left" vertical="center" wrapText="1"/>
    </xf>
    <xf numFmtId="0" fontId="18" fillId="2" borderId="3" xfId="1" applyFont="1" applyFill="1" applyBorder="1" applyAlignment="1">
      <alignment horizontal="left" vertical="top" wrapText="1"/>
    </xf>
    <xf numFmtId="0" fontId="18" fillId="2" borderId="4" xfId="1" applyFont="1" applyFill="1" applyBorder="1" applyAlignment="1">
      <alignment horizontal="left" vertical="top" wrapText="1"/>
    </xf>
    <xf numFmtId="0" fontId="18" fillId="2" borderId="4" xfId="4" applyFont="1" applyFill="1" applyBorder="1" applyAlignment="1">
      <alignment horizontal="left" vertical="center"/>
    </xf>
    <xf numFmtId="0" fontId="18" fillId="2" borderId="3" xfId="4" applyFont="1" applyFill="1" applyBorder="1" applyAlignment="1">
      <alignment horizontal="left" vertical="center"/>
    </xf>
    <xf numFmtId="0" fontId="19" fillId="2" borderId="3" xfId="4" applyFont="1" applyFill="1" applyBorder="1" applyAlignment="1">
      <alignment horizontal="left"/>
    </xf>
    <xf numFmtId="0" fontId="18" fillId="2" borderId="3" xfId="5" applyFont="1" applyFill="1" applyBorder="1">
      <alignment horizontal="left"/>
    </xf>
    <xf numFmtId="0" fontId="34" fillId="2" borderId="4" xfId="1" applyFont="1" applyFill="1" applyBorder="1" applyAlignment="1">
      <alignment horizontal="left"/>
    </xf>
    <xf numFmtId="0" fontId="19" fillId="2" borderId="7" xfId="4" applyFont="1" applyFill="1" applyBorder="1" applyAlignment="1">
      <alignment horizontal="left" vertical="center"/>
    </xf>
    <xf numFmtId="0" fontId="18" fillId="2" borderId="8" xfId="4" applyFont="1" applyFill="1" applyBorder="1" applyAlignment="1">
      <alignment horizontal="left"/>
    </xf>
    <xf numFmtId="0" fontId="18" fillId="2" borderId="9" xfId="4" applyFont="1" applyFill="1" applyBorder="1" applyAlignment="1">
      <alignment horizontal="left"/>
    </xf>
    <xf numFmtId="0" fontId="19" fillId="2" borderId="5" xfId="5" applyFont="1" applyFill="1" applyBorder="1" applyAlignment="1">
      <alignment horizontal="left" vertical="top"/>
    </xf>
    <xf numFmtId="0" fontId="19" fillId="2" borderId="0" xfId="5" applyFont="1" applyFill="1">
      <alignment horizontal="left"/>
    </xf>
    <xf numFmtId="0" fontId="18" fillId="2" borderId="0" xfId="5" applyFont="1" applyFill="1">
      <alignment horizontal="left"/>
    </xf>
    <xf numFmtId="0" fontId="18" fillId="2" borderId="5" xfId="5" applyFont="1" applyFill="1" applyBorder="1">
      <alignment horizontal="left"/>
    </xf>
    <xf numFmtId="14" fontId="19" fillId="2" borderId="7" xfId="4" applyNumberFormat="1" applyFont="1" applyFill="1" applyBorder="1" applyAlignment="1">
      <alignment horizontal="left" vertical="center"/>
    </xf>
    <xf numFmtId="17" fontId="19" fillId="2" borderId="7" xfId="4" applyNumberFormat="1" applyFont="1" applyFill="1" applyBorder="1" applyAlignment="1">
      <alignment horizontal="left" vertical="center"/>
    </xf>
    <xf numFmtId="0" fontId="18" fillId="2" borderId="7" xfId="5" applyFont="1" applyFill="1" applyBorder="1">
      <alignment horizontal="left"/>
    </xf>
    <xf numFmtId="0" fontId="18" fillId="2" borderId="9" xfId="5" applyFont="1" applyFill="1" applyBorder="1">
      <alignment horizontal="left"/>
    </xf>
    <xf numFmtId="0" fontId="34" fillId="2" borderId="8" xfId="1" applyFont="1" applyFill="1" applyBorder="1" applyAlignment="1">
      <alignment horizontal="left"/>
    </xf>
    <xf numFmtId="178" fontId="18" fillId="2" borderId="9" xfId="1" applyNumberFormat="1" applyFont="1" applyFill="1" applyBorder="1" applyAlignment="1">
      <alignment horizontal="left" vertical="center"/>
    </xf>
    <xf numFmtId="178" fontId="18" fillId="2" borderId="8" xfId="1" applyNumberFormat="1" applyFont="1" applyFill="1" applyBorder="1" applyAlignment="1">
      <alignment horizontal="left" vertical="center"/>
    </xf>
    <xf numFmtId="0" fontId="18" fillId="2" borderId="5" xfId="4" applyFont="1" applyFill="1" applyBorder="1" applyAlignment="1">
      <alignment horizontal="left" vertical="center"/>
    </xf>
    <xf numFmtId="0" fontId="0" fillId="3" borderId="19" xfId="0" applyFill="1" applyBorder="1" applyAlignment="1">
      <alignment horizontal="left" vertical="center" wrapText="1"/>
    </xf>
    <xf numFmtId="179" fontId="0" fillId="3" borderId="19" xfId="0" applyNumberFormat="1" applyFill="1" applyBorder="1" applyAlignment="1">
      <alignment horizontal="left" vertical="center" wrapText="1"/>
    </xf>
    <xf numFmtId="0" fontId="44" fillId="4" borderId="20" xfId="0" applyFont="1" applyFill="1" applyBorder="1" applyAlignment="1">
      <alignment horizontal="center" vertical="center" wrapText="1"/>
    </xf>
    <xf numFmtId="0" fontId="45" fillId="5" borderId="20" xfId="0" applyFont="1" applyFill="1" applyBorder="1" applyAlignment="1">
      <alignment horizontal="center" vertical="center" wrapText="1"/>
    </xf>
    <xf numFmtId="0" fontId="0" fillId="6" borderId="20" xfId="0" applyFill="1" applyBorder="1" applyAlignment="1">
      <alignment horizontal="left" vertical="center" wrapText="1"/>
    </xf>
    <xf numFmtId="178" fontId="4" fillId="2" borderId="5" xfId="1" applyNumberFormat="1" applyFont="1" applyFill="1" applyBorder="1" applyAlignment="1">
      <alignment horizontal="left" vertical="center"/>
    </xf>
    <xf numFmtId="0" fontId="21" fillId="2" borderId="0" xfId="1" applyFont="1" applyFill="1"/>
    <xf numFmtId="14" fontId="7" fillId="2" borderId="0" xfId="1" applyNumberFormat="1" applyFont="1" applyFill="1" applyAlignment="1">
      <alignment horizontal="center" vertical="center"/>
    </xf>
    <xf numFmtId="0" fontId="8" fillId="2" borderId="0" xfId="1" applyFont="1" applyFill="1" applyAlignment="1">
      <alignment vertical="top"/>
    </xf>
    <xf numFmtId="176" fontId="27" fillId="0" borderId="10" xfId="1" applyNumberFormat="1" applyFont="1" applyBorder="1" applyAlignment="1">
      <alignment horizontal="center" vertical="center" shrinkToFit="1"/>
    </xf>
    <xf numFmtId="0" fontId="0" fillId="0" borderId="10" xfId="0" applyBorder="1" applyAlignment="1"/>
    <xf numFmtId="0" fontId="18" fillId="2" borderId="2" xfId="6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5" xfId="0" applyBorder="1" applyAlignment="1"/>
    <xf numFmtId="0" fontId="18" fillId="2" borderId="1" xfId="6" applyFont="1" applyFill="1" applyBorder="1" applyAlignment="1">
      <alignment horizontal="center" vertical="center"/>
    </xf>
    <xf numFmtId="0" fontId="0" fillId="0" borderId="4" xfId="0" applyBorder="1" applyAlignment="1"/>
    <xf numFmtId="0" fontId="0" fillId="0" borderId="7" xfId="0" applyBorder="1" applyAlignment="1"/>
    <xf numFmtId="0" fontId="0" fillId="0" borderId="8" xfId="0" applyBorder="1" applyAlignment="1"/>
    <xf numFmtId="14" fontId="9" fillId="2" borderId="0" xfId="1" applyNumberFormat="1" applyFont="1" applyFill="1" applyAlignment="1">
      <alignment horizontal="center" vertical="center"/>
    </xf>
    <xf numFmtId="14" fontId="43" fillId="2" borderId="0" xfId="1" applyNumberFormat="1" applyFont="1" applyFill="1" applyAlignment="1">
      <alignment horizontal="center" vertical="center" wrapText="1"/>
    </xf>
    <xf numFmtId="0" fontId="19" fillId="2" borderId="1" xfId="1" applyFont="1" applyFill="1" applyBorder="1" applyAlignment="1">
      <alignment horizontal="center" vertical="center" wrapText="1"/>
    </xf>
    <xf numFmtId="0" fontId="0" fillId="0" borderId="16" xfId="0" applyBorder="1" applyAlignment="1"/>
    <xf numFmtId="0" fontId="29" fillId="2" borderId="16" xfId="1" applyFont="1" applyFill="1" applyBorder="1" applyAlignment="1">
      <alignment horizontal="left" vertical="center" wrapText="1"/>
    </xf>
    <xf numFmtId="0" fontId="17" fillId="2" borderId="18" xfId="1" applyFont="1" applyFill="1" applyBorder="1" applyAlignment="1">
      <alignment horizontal="left" vertical="top" wrapText="1"/>
    </xf>
    <xf numFmtId="0" fontId="0" fillId="0" borderId="6" xfId="0" applyBorder="1" applyAlignment="1"/>
    <xf numFmtId="0" fontId="0" fillId="0" borderId="9" xfId="0" applyBorder="1" applyAlignment="1"/>
    <xf numFmtId="178" fontId="19" fillId="2" borderId="18" xfId="1" applyNumberFormat="1" applyFont="1" applyFill="1" applyBorder="1" applyAlignment="1">
      <alignment horizontal="left" vertical="center"/>
    </xf>
    <xf numFmtId="177" fontId="19" fillId="2" borderId="14" xfId="1" applyNumberFormat="1" applyFont="1" applyFill="1" applyBorder="1" applyAlignment="1">
      <alignment horizontal="right" vertical="center"/>
    </xf>
    <xf numFmtId="0" fontId="19" fillId="2" borderId="18" xfId="1" applyFont="1" applyFill="1" applyBorder="1" applyAlignment="1">
      <alignment horizontal="left" vertical="center" wrapText="1"/>
    </xf>
    <xf numFmtId="0" fontId="18" fillId="2" borderId="18" xfId="1" applyFont="1" applyFill="1" applyBorder="1" applyAlignment="1">
      <alignment horizontal="left" vertical="top" wrapText="1"/>
    </xf>
    <xf numFmtId="176" fontId="27" fillId="0" borderId="11" xfId="1" applyNumberFormat="1" applyFont="1" applyBorder="1" applyAlignment="1">
      <alignment horizontal="center" vertical="center" wrapText="1" shrinkToFit="1"/>
    </xf>
    <xf numFmtId="0" fontId="0" fillId="0" borderId="14" xfId="0" applyBorder="1" applyAlignment="1"/>
    <xf numFmtId="0" fontId="17" fillId="2" borderId="7" xfId="1" applyFont="1" applyFill="1" applyBorder="1" applyAlignment="1">
      <alignment horizontal="left" vertical="top" wrapText="1"/>
    </xf>
    <xf numFmtId="0" fontId="8" fillId="2" borderId="0" xfId="1" applyFont="1" applyFill="1"/>
    <xf numFmtId="0" fontId="18" fillId="2" borderId="15" xfId="1" applyFont="1" applyFill="1" applyBorder="1" applyAlignment="1">
      <alignment horizontal="center" vertical="top" wrapText="1"/>
    </xf>
    <xf numFmtId="0" fontId="0" fillId="0" borderId="17" xfId="0" applyBorder="1" applyAlignment="1"/>
    <xf numFmtId="0" fontId="17" fillId="2" borderId="14" xfId="1" applyFont="1" applyFill="1" applyBorder="1" applyAlignment="1">
      <alignment horizontal="left" vertical="top" wrapText="1"/>
    </xf>
    <xf numFmtId="178" fontId="18" fillId="2" borderId="14" xfId="1" applyNumberFormat="1" applyFont="1" applyFill="1" applyBorder="1" applyAlignment="1">
      <alignment horizontal="left" vertical="center"/>
    </xf>
    <xf numFmtId="0" fontId="19" fillId="0" borderId="14" xfId="1" applyFont="1" applyBorder="1" applyAlignment="1">
      <alignment horizontal="left" vertical="top" wrapText="1"/>
    </xf>
    <xf numFmtId="0" fontId="31" fillId="2" borderId="0" xfId="1" applyFont="1" applyFill="1"/>
    <xf numFmtId="177" fontId="19" fillId="2" borderId="11" xfId="1" applyNumberFormat="1" applyFont="1" applyFill="1" applyBorder="1" applyAlignment="1">
      <alignment horizontal="left" vertical="center"/>
    </xf>
  </cellXfs>
  <cellStyles count="8">
    <cellStyle name="Company name" xfId="2" xr:uid="{00000000-0005-0000-0000-000002000000}"/>
    <cellStyle name="Normal 2" xfId="4" xr:uid="{00000000-0005-0000-0000-000004000000}"/>
    <cellStyle name="Normal 3" xfId="6" xr:uid="{00000000-0005-0000-0000-000006000000}"/>
    <cellStyle name="Normal 4" xfId="5" xr:uid="{00000000-0005-0000-0000-000005000000}"/>
    <cellStyle name="常规" xfId="0" builtinId="0"/>
    <cellStyle name="常规 2" xfId="1" xr:uid="{00000000-0005-0000-0000-000001000000}"/>
    <cellStyle name="解释性文本 2" xfId="3" xr:uid="{00000000-0005-0000-0000-000003000000}"/>
    <cellStyle name="解释性文本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289983</xdr:colOff>
      <xdr:row>32</xdr:row>
      <xdr:rowOff>124884</xdr:rowOff>
    </xdr:from>
    <xdr:ext cx="1265768" cy="1272629"/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15583" y="10310284"/>
          <a:ext cx="1265768" cy="1272629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85"/>
  <sheetViews>
    <sheetView zoomScale="80" zoomScaleNormal="80" workbookViewId="0">
      <pane xSplit="1" ySplit="2" topLeftCell="J30" activePane="bottomRight" state="frozen"/>
      <selection pane="topRight" activeCell="B1" sqref="B1"/>
      <selection pane="bottomLeft" activeCell="A3" sqref="A3"/>
      <selection pane="bottomRight" activeCell="A23" sqref="A23:XFD36"/>
    </sheetView>
  </sheetViews>
  <sheetFormatPr baseColWidth="10" defaultColWidth="8.83203125" defaultRowHeight="16"/>
  <cols>
    <col min="1" max="2" width="20" style="30" customWidth="1"/>
    <col min="3" max="3" width="21" style="30" customWidth="1"/>
    <col min="4" max="4" width="20" style="30" customWidth="1"/>
    <col min="5" max="5" width="40" style="30" customWidth="1"/>
    <col min="6" max="6" width="60" style="30" customWidth="1"/>
    <col min="7" max="7" width="40" style="30" customWidth="1"/>
    <col min="8" max="8" width="60" style="30" customWidth="1"/>
    <col min="9" max="9" width="35" style="30" customWidth="1"/>
    <col min="10" max="10" width="60" style="30" customWidth="1"/>
    <col min="11" max="11" width="21" style="30" customWidth="1"/>
    <col min="12" max="12" width="25" style="30" customWidth="1"/>
    <col min="13" max="13" width="21" style="30" customWidth="1"/>
    <col min="14" max="14" width="20" style="30" customWidth="1"/>
    <col min="15" max="15" width="55" style="30" customWidth="1"/>
    <col min="16" max="17" width="20" style="30" customWidth="1"/>
    <col min="18" max="18" width="45" style="30" customWidth="1"/>
    <col min="19" max="19" width="60" style="30" customWidth="1"/>
    <col min="20" max="21" width="20" style="30" customWidth="1"/>
    <col min="22" max="22" width="25" style="30" customWidth="1"/>
    <col min="23" max="24" width="65" style="30" customWidth="1"/>
  </cols>
  <sheetData>
    <row r="1" spans="1:24" ht="30" customHeight="1">
      <c r="A1" s="105" t="s">
        <v>183</v>
      </c>
      <c r="B1" s="105" t="s">
        <v>184</v>
      </c>
      <c r="C1" s="105" t="s">
        <v>2</v>
      </c>
      <c r="D1" s="105" t="s">
        <v>3</v>
      </c>
      <c r="E1" s="105" t="s">
        <v>185</v>
      </c>
      <c r="F1" s="105" t="s">
        <v>5</v>
      </c>
      <c r="G1" s="105" t="s">
        <v>6</v>
      </c>
      <c r="H1" s="105" t="s">
        <v>7</v>
      </c>
      <c r="I1" s="105" t="s">
        <v>8</v>
      </c>
      <c r="J1" s="105" t="s">
        <v>9</v>
      </c>
      <c r="K1" s="105" t="s">
        <v>10</v>
      </c>
      <c r="L1" s="105" t="s">
        <v>186</v>
      </c>
      <c r="M1" s="105" t="s">
        <v>187</v>
      </c>
      <c r="N1" s="105" t="s">
        <v>13</v>
      </c>
      <c r="O1" s="105" t="s">
        <v>14</v>
      </c>
      <c r="P1" s="105" t="s">
        <v>188</v>
      </c>
      <c r="Q1" s="105" t="s">
        <v>16</v>
      </c>
      <c r="R1" s="105" t="s">
        <v>17</v>
      </c>
      <c r="S1" s="105" t="s">
        <v>18</v>
      </c>
      <c r="T1" s="105" t="s">
        <v>19</v>
      </c>
      <c r="U1" s="105" t="s">
        <v>20</v>
      </c>
      <c r="V1" s="105" t="s">
        <v>21</v>
      </c>
      <c r="W1" s="105" t="s">
        <v>22</v>
      </c>
      <c r="X1" s="105" t="s">
        <v>23</v>
      </c>
    </row>
    <row r="2" spans="1:24" ht="25" customHeight="1">
      <c r="A2" s="106" t="s">
        <v>24</v>
      </c>
      <c r="B2" s="106" t="s">
        <v>25</v>
      </c>
      <c r="C2" s="106" t="s">
        <v>26</v>
      </c>
      <c r="D2" s="106" t="s">
        <v>27</v>
      </c>
      <c r="E2" s="106" t="s">
        <v>28</v>
      </c>
      <c r="F2" s="106" t="s">
        <v>29</v>
      </c>
      <c r="G2" s="106" t="s">
        <v>30</v>
      </c>
      <c r="H2" s="106" t="s">
        <v>31</v>
      </c>
      <c r="I2" s="106" t="s">
        <v>32</v>
      </c>
      <c r="J2" s="106" t="s">
        <v>33</v>
      </c>
      <c r="K2" s="106" t="s">
        <v>34</v>
      </c>
      <c r="L2" s="106" t="s">
        <v>35</v>
      </c>
      <c r="M2" s="106" t="s">
        <v>36</v>
      </c>
      <c r="N2" s="106" t="s">
        <v>37</v>
      </c>
      <c r="O2" s="106" t="s">
        <v>38</v>
      </c>
      <c r="P2" s="106" t="s">
        <v>39</v>
      </c>
      <c r="Q2" s="106" t="s">
        <v>40</v>
      </c>
      <c r="R2" s="106" t="s">
        <v>41</v>
      </c>
      <c r="S2" s="106" t="s">
        <v>42</v>
      </c>
      <c r="T2" s="106" t="s">
        <v>43</v>
      </c>
      <c r="U2" s="106" t="s">
        <v>44</v>
      </c>
      <c r="V2" s="106" t="s">
        <v>45</v>
      </c>
      <c r="W2" s="106" t="s">
        <v>46</v>
      </c>
      <c r="X2" s="106" t="s">
        <v>47</v>
      </c>
    </row>
    <row r="3" spans="1:24" ht="69" customHeight="1">
      <c r="A3" s="103" t="s">
        <v>48</v>
      </c>
      <c r="B3" s="104">
        <v>46095</v>
      </c>
      <c r="C3" s="103"/>
      <c r="D3" s="103"/>
      <c r="E3" s="103" t="s">
        <v>49</v>
      </c>
      <c r="F3" s="103" t="s">
        <v>50</v>
      </c>
      <c r="G3" s="103" t="s">
        <v>51</v>
      </c>
      <c r="H3" s="103" t="s">
        <v>52</v>
      </c>
      <c r="I3" s="103" t="s">
        <v>53</v>
      </c>
      <c r="J3" s="103" t="s">
        <v>54</v>
      </c>
      <c r="K3" s="103" t="s">
        <v>55</v>
      </c>
      <c r="L3" s="103" t="s">
        <v>56</v>
      </c>
      <c r="M3" s="104" t="s">
        <v>88</v>
      </c>
      <c r="N3" s="103" t="s">
        <v>58</v>
      </c>
      <c r="O3" s="103" t="s">
        <v>59</v>
      </c>
      <c r="P3" s="103" t="s">
        <v>60</v>
      </c>
      <c r="Q3" s="103" t="s">
        <v>61</v>
      </c>
      <c r="R3" s="103" t="s">
        <v>62</v>
      </c>
      <c r="S3" s="103" t="s">
        <v>63</v>
      </c>
      <c r="T3" s="103" t="s">
        <v>64</v>
      </c>
      <c r="U3" s="107" t="s">
        <v>65</v>
      </c>
      <c r="V3" s="103">
        <v>1.42</v>
      </c>
      <c r="W3" s="103" t="s">
        <v>172</v>
      </c>
      <c r="X3" s="103" t="s">
        <v>66</v>
      </c>
    </row>
    <row r="4" spans="1:24" ht="69" customHeight="1">
      <c r="A4" s="103" t="s">
        <v>89</v>
      </c>
      <c r="B4" s="104">
        <v>46095</v>
      </c>
      <c r="C4" s="103"/>
      <c r="D4" s="103"/>
      <c r="E4" s="103" t="s">
        <v>49</v>
      </c>
      <c r="F4" s="103" t="s">
        <v>50</v>
      </c>
      <c r="G4" s="103" t="s">
        <v>51</v>
      </c>
      <c r="H4" s="103" t="s">
        <v>52</v>
      </c>
      <c r="I4" s="103" t="s">
        <v>53</v>
      </c>
      <c r="J4" s="103" t="s">
        <v>54</v>
      </c>
      <c r="K4" s="103" t="s">
        <v>55</v>
      </c>
      <c r="L4" s="103" t="s">
        <v>56</v>
      </c>
      <c r="M4" s="104" t="s">
        <v>88</v>
      </c>
      <c r="N4" s="103" t="s">
        <v>58</v>
      </c>
      <c r="O4" s="103" t="s">
        <v>59</v>
      </c>
      <c r="P4" s="103" t="s">
        <v>60</v>
      </c>
      <c r="Q4" s="103" t="s">
        <v>61</v>
      </c>
      <c r="R4" s="103" t="s">
        <v>62</v>
      </c>
      <c r="S4" s="103" t="s">
        <v>90</v>
      </c>
      <c r="T4" s="103" t="s">
        <v>64</v>
      </c>
      <c r="U4" s="107" t="s">
        <v>65</v>
      </c>
      <c r="V4" s="103">
        <v>1.42</v>
      </c>
      <c r="W4" s="103" t="s">
        <v>172</v>
      </c>
      <c r="X4" s="103" t="s">
        <v>66</v>
      </c>
    </row>
    <row r="5" spans="1:24" ht="69" customHeight="1">
      <c r="A5" s="103" t="s">
        <v>91</v>
      </c>
      <c r="B5" s="104">
        <v>46095</v>
      </c>
      <c r="C5" s="103"/>
      <c r="D5" s="103"/>
      <c r="E5" s="103" t="s">
        <v>49</v>
      </c>
      <c r="F5" s="103" t="s">
        <v>50</v>
      </c>
      <c r="G5" s="103" t="s">
        <v>51</v>
      </c>
      <c r="H5" s="103" t="s">
        <v>52</v>
      </c>
      <c r="I5" s="103" t="s">
        <v>53</v>
      </c>
      <c r="J5" s="103" t="s">
        <v>54</v>
      </c>
      <c r="K5" s="103" t="s">
        <v>55</v>
      </c>
      <c r="L5" s="103" t="s">
        <v>56</v>
      </c>
      <c r="M5" s="104" t="s">
        <v>92</v>
      </c>
      <c r="N5" s="103" t="s">
        <v>58</v>
      </c>
      <c r="O5" s="103" t="s">
        <v>59</v>
      </c>
      <c r="P5" s="103" t="s">
        <v>60</v>
      </c>
      <c r="Q5" s="103" t="s">
        <v>61</v>
      </c>
      <c r="R5" s="103" t="s">
        <v>62</v>
      </c>
      <c r="S5" s="103" t="s">
        <v>63</v>
      </c>
      <c r="T5" s="103" t="s">
        <v>64</v>
      </c>
      <c r="U5" s="107" t="s">
        <v>65</v>
      </c>
      <c r="V5" s="103">
        <v>1.42</v>
      </c>
      <c r="W5" s="103" t="s">
        <v>172</v>
      </c>
      <c r="X5" s="103" t="s">
        <v>66</v>
      </c>
    </row>
    <row r="6" spans="1:24" ht="69" customHeight="1">
      <c r="A6" s="103" t="s">
        <v>93</v>
      </c>
      <c r="B6" s="104">
        <v>46095</v>
      </c>
      <c r="C6" s="103"/>
      <c r="D6" s="103"/>
      <c r="E6" s="103" t="s">
        <v>49</v>
      </c>
      <c r="F6" s="103" t="s">
        <v>50</v>
      </c>
      <c r="G6" s="103" t="s">
        <v>51</v>
      </c>
      <c r="H6" s="103" t="s">
        <v>52</v>
      </c>
      <c r="I6" s="103" t="s">
        <v>53</v>
      </c>
      <c r="J6" s="103" t="s">
        <v>54</v>
      </c>
      <c r="K6" s="103" t="s">
        <v>55</v>
      </c>
      <c r="L6" s="103" t="s">
        <v>56</v>
      </c>
      <c r="M6" s="104" t="s">
        <v>92</v>
      </c>
      <c r="N6" s="103" t="s">
        <v>58</v>
      </c>
      <c r="O6" s="103" t="s">
        <v>59</v>
      </c>
      <c r="P6" s="103" t="s">
        <v>60</v>
      </c>
      <c r="Q6" s="103" t="s">
        <v>61</v>
      </c>
      <c r="R6" s="103" t="s">
        <v>62</v>
      </c>
      <c r="S6" s="103" t="s">
        <v>90</v>
      </c>
      <c r="T6" s="103" t="s">
        <v>64</v>
      </c>
      <c r="U6" s="107" t="s">
        <v>65</v>
      </c>
      <c r="V6" s="103">
        <v>1.42</v>
      </c>
      <c r="W6" s="103" t="s">
        <v>172</v>
      </c>
      <c r="X6" s="103" t="s">
        <v>66</v>
      </c>
    </row>
    <row r="7" spans="1:24" ht="69" customHeight="1">
      <c r="A7" s="103" t="s">
        <v>94</v>
      </c>
      <c r="B7" s="104">
        <v>46095</v>
      </c>
      <c r="C7" s="103"/>
      <c r="D7" s="103"/>
      <c r="E7" s="103" t="s">
        <v>49</v>
      </c>
      <c r="F7" s="103" t="s">
        <v>50</v>
      </c>
      <c r="G7" s="103" t="s">
        <v>51</v>
      </c>
      <c r="H7" s="103" t="s">
        <v>52</v>
      </c>
      <c r="I7" s="103" t="s">
        <v>53</v>
      </c>
      <c r="J7" s="103" t="s">
        <v>54</v>
      </c>
      <c r="K7" s="103" t="s">
        <v>55</v>
      </c>
      <c r="L7" s="103" t="s">
        <v>56</v>
      </c>
      <c r="M7" s="104" t="s">
        <v>95</v>
      </c>
      <c r="N7" s="103" t="s">
        <v>58</v>
      </c>
      <c r="O7" s="103" t="s">
        <v>59</v>
      </c>
      <c r="P7" s="103" t="s">
        <v>60</v>
      </c>
      <c r="Q7" s="103" t="s">
        <v>61</v>
      </c>
      <c r="R7" s="103" t="s">
        <v>62</v>
      </c>
      <c r="S7" s="103" t="s">
        <v>63</v>
      </c>
      <c r="T7" s="103" t="s">
        <v>64</v>
      </c>
      <c r="U7" s="107" t="s">
        <v>65</v>
      </c>
      <c r="V7" s="103">
        <v>1.42</v>
      </c>
      <c r="W7" s="103" t="s">
        <v>172</v>
      </c>
      <c r="X7" s="103" t="s">
        <v>66</v>
      </c>
    </row>
    <row r="8" spans="1:24" ht="69" customHeight="1">
      <c r="A8" s="103" t="s">
        <v>96</v>
      </c>
      <c r="B8" s="104">
        <v>46095</v>
      </c>
      <c r="C8" s="103"/>
      <c r="D8" s="103"/>
      <c r="E8" s="103" t="s">
        <v>49</v>
      </c>
      <c r="F8" s="103" t="s">
        <v>50</v>
      </c>
      <c r="G8" s="103" t="s">
        <v>51</v>
      </c>
      <c r="H8" s="103" t="s">
        <v>52</v>
      </c>
      <c r="I8" s="103" t="s">
        <v>53</v>
      </c>
      <c r="J8" s="103" t="s">
        <v>54</v>
      </c>
      <c r="K8" s="103" t="s">
        <v>55</v>
      </c>
      <c r="L8" s="103" t="s">
        <v>56</v>
      </c>
      <c r="M8" s="104" t="s">
        <v>95</v>
      </c>
      <c r="N8" s="103" t="s">
        <v>58</v>
      </c>
      <c r="O8" s="103" t="s">
        <v>59</v>
      </c>
      <c r="P8" s="103" t="s">
        <v>60</v>
      </c>
      <c r="Q8" s="103" t="s">
        <v>61</v>
      </c>
      <c r="R8" s="103" t="s">
        <v>62</v>
      </c>
      <c r="S8" s="103" t="s">
        <v>90</v>
      </c>
      <c r="T8" s="103" t="s">
        <v>64</v>
      </c>
      <c r="U8" s="107" t="s">
        <v>65</v>
      </c>
      <c r="V8" s="103">
        <v>1.42</v>
      </c>
      <c r="W8" s="103" t="s">
        <v>172</v>
      </c>
      <c r="X8" s="103" t="s">
        <v>66</v>
      </c>
    </row>
    <row r="9" spans="1:24" ht="69" customHeight="1">
      <c r="A9" s="103" t="s">
        <v>97</v>
      </c>
      <c r="B9" s="104">
        <v>46095</v>
      </c>
      <c r="C9" s="103"/>
      <c r="D9" s="103"/>
      <c r="E9" s="103" t="s">
        <v>49</v>
      </c>
      <c r="F9" s="103" t="s">
        <v>50</v>
      </c>
      <c r="G9" s="103" t="s">
        <v>51</v>
      </c>
      <c r="H9" s="103" t="s">
        <v>52</v>
      </c>
      <c r="I9" s="103" t="s">
        <v>53</v>
      </c>
      <c r="J9" s="103" t="s">
        <v>54</v>
      </c>
      <c r="K9" s="103" t="s">
        <v>55</v>
      </c>
      <c r="L9" s="103" t="s">
        <v>56</v>
      </c>
      <c r="M9" s="104" t="s">
        <v>98</v>
      </c>
      <c r="N9" s="103" t="s">
        <v>58</v>
      </c>
      <c r="O9" s="103" t="s">
        <v>59</v>
      </c>
      <c r="P9" s="103" t="s">
        <v>60</v>
      </c>
      <c r="Q9" s="103" t="s">
        <v>61</v>
      </c>
      <c r="R9" s="103" t="s">
        <v>62</v>
      </c>
      <c r="S9" s="103" t="s">
        <v>63</v>
      </c>
      <c r="T9" s="103" t="s">
        <v>64</v>
      </c>
      <c r="U9" s="107" t="s">
        <v>65</v>
      </c>
      <c r="V9" s="103">
        <v>1.42</v>
      </c>
      <c r="W9" s="103" t="s">
        <v>172</v>
      </c>
      <c r="X9" s="103" t="s">
        <v>66</v>
      </c>
    </row>
    <row r="10" spans="1:24" ht="69" customHeight="1">
      <c r="A10" s="103" t="s">
        <v>99</v>
      </c>
      <c r="B10" s="104">
        <v>46095</v>
      </c>
      <c r="C10" s="103"/>
      <c r="D10" s="103"/>
      <c r="E10" s="103" t="s">
        <v>49</v>
      </c>
      <c r="F10" s="103" t="s">
        <v>50</v>
      </c>
      <c r="G10" s="103" t="s">
        <v>51</v>
      </c>
      <c r="H10" s="103" t="s">
        <v>52</v>
      </c>
      <c r="I10" s="103" t="s">
        <v>53</v>
      </c>
      <c r="J10" s="103" t="s">
        <v>54</v>
      </c>
      <c r="K10" s="103" t="s">
        <v>55</v>
      </c>
      <c r="L10" s="103" t="s">
        <v>56</v>
      </c>
      <c r="M10" s="104" t="s">
        <v>98</v>
      </c>
      <c r="N10" s="103" t="s">
        <v>58</v>
      </c>
      <c r="O10" s="103" t="s">
        <v>59</v>
      </c>
      <c r="P10" s="103" t="s">
        <v>60</v>
      </c>
      <c r="Q10" s="103" t="s">
        <v>61</v>
      </c>
      <c r="R10" s="103" t="s">
        <v>62</v>
      </c>
      <c r="S10" s="103" t="s">
        <v>90</v>
      </c>
      <c r="T10" s="103" t="s">
        <v>64</v>
      </c>
      <c r="U10" s="107" t="s">
        <v>65</v>
      </c>
      <c r="V10" s="103">
        <v>1.42</v>
      </c>
      <c r="W10" s="103" t="s">
        <v>172</v>
      </c>
      <c r="X10" s="103" t="s">
        <v>66</v>
      </c>
    </row>
    <row r="11" spans="1:24" ht="69" customHeight="1">
      <c r="A11" s="103" t="s">
        <v>100</v>
      </c>
      <c r="B11" s="104">
        <v>46095</v>
      </c>
      <c r="C11" s="103"/>
      <c r="D11" s="103"/>
      <c r="E11" s="103" t="s">
        <v>49</v>
      </c>
      <c r="F11" s="103" t="s">
        <v>50</v>
      </c>
      <c r="G11" s="103" t="s">
        <v>51</v>
      </c>
      <c r="H11" s="103" t="s">
        <v>52</v>
      </c>
      <c r="I11" s="103" t="s">
        <v>53</v>
      </c>
      <c r="J11" s="103" t="s">
        <v>54</v>
      </c>
      <c r="K11" s="103" t="s">
        <v>55</v>
      </c>
      <c r="L11" s="103" t="s">
        <v>56</v>
      </c>
      <c r="M11" s="104" t="s">
        <v>101</v>
      </c>
      <c r="N11" s="103" t="s">
        <v>58</v>
      </c>
      <c r="O11" s="103" t="s">
        <v>59</v>
      </c>
      <c r="P11" s="103" t="s">
        <v>60</v>
      </c>
      <c r="Q11" s="103" t="s">
        <v>61</v>
      </c>
      <c r="R11" s="103" t="s">
        <v>62</v>
      </c>
      <c r="S11" s="103" t="s">
        <v>63</v>
      </c>
      <c r="T11" s="103" t="s">
        <v>64</v>
      </c>
      <c r="U11" s="107" t="s">
        <v>65</v>
      </c>
      <c r="V11" s="103">
        <v>1.42</v>
      </c>
      <c r="W11" s="103" t="s">
        <v>172</v>
      </c>
      <c r="X11" s="103" t="s">
        <v>66</v>
      </c>
    </row>
    <row r="12" spans="1:24" ht="69" customHeight="1">
      <c r="A12" s="103" t="s">
        <v>102</v>
      </c>
      <c r="B12" s="104">
        <v>46095</v>
      </c>
      <c r="C12" s="103"/>
      <c r="D12" s="103"/>
      <c r="E12" s="103" t="s">
        <v>49</v>
      </c>
      <c r="F12" s="103" t="s">
        <v>50</v>
      </c>
      <c r="G12" s="103" t="s">
        <v>51</v>
      </c>
      <c r="H12" s="103" t="s">
        <v>52</v>
      </c>
      <c r="I12" s="103" t="s">
        <v>53</v>
      </c>
      <c r="J12" s="103" t="s">
        <v>54</v>
      </c>
      <c r="K12" s="103" t="s">
        <v>55</v>
      </c>
      <c r="L12" s="103" t="s">
        <v>56</v>
      </c>
      <c r="M12" s="104" t="s">
        <v>101</v>
      </c>
      <c r="N12" s="103" t="s">
        <v>58</v>
      </c>
      <c r="O12" s="103" t="s">
        <v>59</v>
      </c>
      <c r="P12" s="103" t="s">
        <v>60</v>
      </c>
      <c r="Q12" s="103" t="s">
        <v>61</v>
      </c>
      <c r="R12" s="103" t="s">
        <v>62</v>
      </c>
      <c r="S12" s="103" t="s">
        <v>90</v>
      </c>
      <c r="T12" s="103" t="s">
        <v>64</v>
      </c>
      <c r="U12" s="107" t="s">
        <v>65</v>
      </c>
      <c r="V12" s="103">
        <v>1.42</v>
      </c>
      <c r="W12" s="103" t="s">
        <v>172</v>
      </c>
      <c r="X12" s="103" t="s">
        <v>66</v>
      </c>
    </row>
    <row r="13" spans="1:24" ht="69" customHeight="1">
      <c r="A13" s="103" t="s">
        <v>103</v>
      </c>
      <c r="B13" s="104">
        <v>46095</v>
      </c>
      <c r="C13" s="103"/>
      <c r="D13" s="103"/>
      <c r="E13" s="103" t="s">
        <v>49</v>
      </c>
      <c r="F13" s="103" t="s">
        <v>50</v>
      </c>
      <c r="G13" s="103" t="s">
        <v>51</v>
      </c>
      <c r="H13" s="103" t="s">
        <v>52</v>
      </c>
      <c r="I13" s="103" t="s">
        <v>53</v>
      </c>
      <c r="J13" s="103" t="s">
        <v>54</v>
      </c>
      <c r="K13" s="103" t="s">
        <v>55</v>
      </c>
      <c r="L13" s="103" t="s">
        <v>56</v>
      </c>
      <c r="M13" s="104" t="s">
        <v>104</v>
      </c>
      <c r="N13" s="103" t="s">
        <v>58</v>
      </c>
      <c r="O13" s="103" t="s">
        <v>59</v>
      </c>
      <c r="P13" s="103" t="s">
        <v>60</v>
      </c>
      <c r="Q13" s="103" t="s">
        <v>61</v>
      </c>
      <c r="R13" s="103" t="s">
        <v>62</v>
      </c>
      <c r="S13" s="103" t="s">
        <v>63</v>
      </c>
      <c r="T13" s="103" t="s">
        <v>64</v>
      </c>
      <c r="U13" s="107" t="s">
        <v>65</v>
      </c>
      <c r="V13" s="103">
        <v>1.42</v>
      </c>
      <c r="W13" s="103" t="s">
        <v>172</v>
      </c>
      <c r="X13" s="103" t="s">
        <v>66</v>
      </c>
    </row>
    <row r="14" spans="1:24" ht="69" customHeight="1">
      <c r="A14" s="103" t="s">
        <v>105</v>
      </c>
      <c r="B14" s="104">
        <v>46095</v>
      </c>
      <c r="C14" s="103"/>
      <c r="D14" s="103"/>
      <c r="E14" s="103" t="s">
        <v>49</v>
      </c>
      <c r="F14" s="103" t="s">
        <v>50</v>
      </c>
      <c r="G14" s="103" t="s">
        <v>51</v>
      </c>
      <c r="H14" s="103" t="s">
        <v>52</v>
      </c>
      <c r="I14" s="103" t="s">
        <v>53</v>
      </c>
      <c r="J14" s="103" t="s">
        <v>54</v>
      </c>
      <c r="K14" s="103" t="s">
        <v>55</v>
      </c>
      <c r="L14" s="103" t="s">
        <v>56</v>
      </c>
      <c r="M14" s="104" t="s">
        <v>104</v>
      </c>
      <c r="N14" s="103" t="s">
        <v>58</v>
      </c>
      <c r="O14" s="103" t="s">
        <v>59</v>
      </c>
      <c r="P14" s="103" t="s">
        <v>60</v>
      </c>
      <c r="Q14" s="103" t="s">
        <v>61</v>
      </c>
      <c r="R14" s="103" t="s">
        <v>62</v>
      </c>
      <c r="S14" s="103" t="s">
        <v>90</v>
      </c>
      <c r="T14" s="103" t="s">
        <v>64</v>
      </c>
      <c r="U14" s="107" t="s">
        <v>65</v>
      </c>
      <c r="V14" s="103">
        <v>1.42</v>
      </c>
      <c r="W14" s="103" t="s">
        <v>172</v>
      </c>
      <c r="X14" s="103" t="s">
        <v>66</v>
      </c>
    </row>
    <row r="15" spans="1:24" ht="69" customHeight="1">
      <c r="A15" s="103" t="s">
        <v>106</v>
      </c>
      <c r="B15" s="104">
        <v>46095</v>
      </c>
      <c r="C15" s="103"/>
      <c r="D15" s="103"/>
      <c r="E15" s="103" t="s">
        <v>49</v>
      </c>
      <c r="F15" s="103" t="s">
        <v>50</v>
      </c>
      <c r="G15" s="103" t="s">
        <v>51</v>
      </c>
      <c r="H15" s="103" t="s">
        <v>52</v>
      </c>
      <c r="I15" s="103" t="s">
        <v>53</v>
      </c>
      <c r="J15" s="103" t="s">
        <v>54</v>
      </c>
      <c r="K15" s="103" t="s">
        <v>55</v>
      </c>
      <c r="L15" s="103" t="s">
        <v>56</v>
      </c>
      <c r="M15" s="104" t="s">
        <v>107</v>
      </c>
      <c r="N15" s="103" t="s">
        <v>58</v>
      </c>
      <c r="O15" s="103" t="s">
        <v>59</v>
      </c>
      <c r="P15" s="103" t="s">
        <v>60</v>
      </c>
      <c r="Q15" s="103" t="s">
        <v>61</v>
      </c>
      <c r="R15" s="103" t="s">
        <v>62</v>
      </c>
      <c r="S15" s="103" t="s">
        <v>63</v>
      </c>
      <c r="T15" s="103" t="s">
        <v>64</v>
      </c>
      <c r="U15" s="107" t="s">
        <v>65</v>
      </c>
      <c r="V15" s="103">
        <v>1.42</v>
      </c>
      <c r="W15" s="103" t="s">
        <v>172</v>
      </c>
      <c r="X15" s="103" t="s">
        <v>66</v>
      </c>
    </row>
    <row r="16" spans="1:24" ht="69" customHeight="1">
      <c r="A16" s="103" t="s">
        <v>108</v>
      </c>
      <c r="B16" s="104">
        <v>46095</v>
      </c>
      <c r="C16" s="103"/>
      <c r="D16" s="103"/>
      <c r="E16" s="103" t="s">
        <v>49</v>
      </c>
      <c r="F16" s="103" t="s">
        <v>50</v>
      </c>
      <c r="G16" s="103" t="s">
        <v>51</v>
      </c>
      <c r="H16" s="103" t="s">
        <v>52</v>
      </c>
      <c r="I16" s="103" t="s">
        <v>53</v>
      </c>
      <c r="J16" s="103" t="s">
        <v>54</v>
      </c>
      <c r="K16" s="103" t="s">
        <v>55</v>
      </c>
      <c r="L16" s="103" t="s">
        <v>56</v>
      </c>
      <c r="M16" s="104" t="s">
        <v>107</v>
      </c>
      <c r="N16" s="103" t="s">
        <v>58</v>
      </c>
      <c r="O16" s="103" t="s">
        <v>59</v>
      </c>
      <c r="P16" s="103" t="s">
        <v>60</v>
      </c>
      <c r="Q16" s="103" t="s">
        <v>61</v>
      </c>
      <c r="R16" s="103" t="s">
        <v>62</v>
      </c>
      <c r="S16" s="103" t="s">
        <v>90</v>
      </c>
      <c r="T16" s="103" t="s">
        <v>64</v>
      </c>
      <c r="U16" s="107" t="s">
        <v>65</v>
      </c>
      <c r="V16" s="103">
        <v>1.42</v>
      </c>
      <c r="W16" s="103" t="s">
        <v>172</v>
      </c>
      <c r="X16" s="103" t="s">
        <v>66</v>
      </c>
    </row>
    <row r="17" spans="1:24" ht="69" customHeight="1">
      <c r="A17" s="103" t="s">
        <v>109</v>
      </c>
      <c r="B17" s="104">
        <v>46095</v>
      </c>
      <c r="C17" s="103"/>
      <c r="D17" s="103"/>
      <c r="E17" s="103" t="s">
        <v>49</v>
      </c>
      <c r="F17" s="103" t="s">
        <v>50</v>
      </c>
      <c r="G17" s="103" t="s">
        <v>51</v>
      </c>
      <c r="H17" s="103" t="s">
        <v>52</v>
      </c>
      <c r="I17" s="103" t="s">
        <v>53</v>
      </c>
      <c r="J17" s="103" t="s">
        <v>54</v>
      </c>
      <c r="K17" s="103" t="s">
        <v>55</v>
      </c>
      <c r="L17" s="103" t="s">
        <v>56</v>
      </c>
      <c r="M17" s="104" t="s">
        <v>110</v>
      </c>
      <c r="N17" s="103" t="s">
        <v>58</v>
      </c>
      <c r="O17" s="103" t="s">
        <v>59</v>
      </c>
      <c r="P17" s="103" t="s">
        <v>60</v>
      </c>
      <c r="Q17" s="103" t="s">
        <v>61</v>
      </c>
      <c r="R17" s="103" t="s">
        <v>62</v>
      </c>
      <c r="S17" s="103" t="s">
        <v>63</v>
      </c>
      <c r="T17" s="103" t="s">
        <v>64</v>
      </c>
      <c r="U17" s="107" t="s">
        <v>65</v>
      </c>
      <c r="V17" s="103">
        <v>1.42</v>
      </c>
      <c r="W17" s="103" t="s">
        <v>172</v>
      </c>
      <c r="X17" s="103" t="s">
        <v>66</v>
      </c>
    </row>
    <row r="18" spans="1:24" ht="69" customHeight="1">
      <c r="A18" s="103" t="s">
        <v>111</v>
      </c>
      <c r="B18" s="104">
        <v>46095</v>
      </c>
      <c r="C18" s="103"/>
      <c r="D18" s="103"/>
      <c r="E18" s="103" t="s">
        <v>49</v>
      </c>
      <c r="F18" s="103" t="s">
        <v>50</v>
      </c>
      <c r="G18" s="103" t="s">
        <v>51</v>
      </c>
      <c r="H18" s="103" t="s">
        <v>52</v>
      </c>
      <c r="I18" s="103" t="s">
        <v>53</v>
      </c>
      <c r="J18" s="103" t="s">
        <v>54</v>
      </c>
      <c r="K18" s="103" t="s">
        <v>55</v>
      </c>
      <c r="L18" s="103" t="s">
        <v>56</v>
      </c>
      <c r="M18" s="104" t="s">
        <v>110</v>
      </c>
      <c r="N18" s="103" t="s">
        <v>58</v>
      </c>
      <c r="O18" s="103" t="s">
        <v>59</v>
      </c>
      <c r="P18" s="103" t="s">
        <v>60</v>
      </c>
      <c r="Q18" s="103" t="s">
        <v>61</v>
      </c>
      <c r="R18" s="103" t="s">
        <v>62</v>
      </c>
      <c r="S18" s="103" t="s">
        <v>90</v>
      </c>
      <c r="T18" s="103" t="s">
        <v>64</v>
      </c>
      <c r="U18" s="107" t="s">
        <v>65</v>
      </c>
      <c r="V18" s="103">
        <v>1.42</v>
      </c>
      <c r="W18" s="103" t="s">
        <v>172</v>
      </c>
      <c r="X18" s="103" t="s">
        <v>66</v>
      </c>
    </row>
    <row r="19" spans="1:24" ht="69" customHeight="1">
      <c r="A19" s="103" t="s">
        <v>112</v>
      </c>
      <c r="B19" s="104">
        <v>46095</v>
      </c>
      <c r="C19" s="103"/>
      <c r="D19" s="103"/>
      <c r="E19" s="103" t="s">
        <v>49</v>
      </c>
      <c r="F19" s="103" t="s">
        <v>50</v>
      </c>
      <c r="G19" s="103" t="s">
        <v>51</v>
      </c>
      <c r="H19" s="103" t="s">
        <v>52</v>
      </c>
      <c r="I19" s="103" t="s">
        <v>53</v>
      </c>
      <c r="J19" s="103" t="s">
        <v>54</v>
      </c>
      <c r="K19" s="103" t="s">
        <v>55</v>
      </c>
      <c r="L19" s="103" t="s">
        <v>56</v>
      </c>
      <c r="M19" s="104" t="s">
        <v>113</v>
      </c>
      <c r="N19" s="103" t="s">
        <v>58</v>
      </c>
      <c r="O19" s="103" t="s">
        <v>59</v>
      </c>
      <c r="P19" s="103" t="s">
        <v>60</v>
      </c>
      <c r="Q19" s="103" t="s">
        <v>61</v>
      </c>
      <c r="R19" s="103" t="s">
        <v>62</v>
      </c>
      <c r="S19" s="103" t="s">
        <v>63</v>
      </c>
      <c r="T19" s="103" t="s">
        <v>64</v>
      </c>
      <c r="U19" s="107" t="s">
        <v>65</v>
      </c>
      <c r="V19" s="103">
        <v>1.42</v>
      </c>
      <c r="W19" s="103" t="s">
        <v>172</v>
      </c>
      <c r="X19" s="103" t="s">
        <v>66</v>
      </c>
    </row>
    <row r="20" spans="1:24" ht="69" customHeight="1">
      <c r="A20" s="103" t="s">
        <v>114</v>
      </c>
      <c r="B20" s="104">
        <v>46095</v>
      </c>
      <c r="C20" s="103"/>
      <c r="D20" s="103"/>
      <c r="E20" s="103" t="s">
        <v>49</v>
      </c>
      <c r="F20" s="103" t="s">
        <v>50</v>
      </c>
      <c r="G20" s="103" t="s">
        <v>51</v>
      </c>
      <c r="H20" s="103" t="s">
        <v>52</v>
      </c>
      <c r="I20" s="103" t="s">
        <v>53</v>
      </c>
      <c r="J20" s="103" t="s">
        <v>54</v>
      </c>
      <c r="K20" s="103" t="s">
        <v>55</v>
      </c>
      <c r="L20" s="103" t="s">
        <v>56</v>
      </c>
      <c r="M20" s="104" t="s">
        <v>113</v>
      </c>
      <c r="N20" s="103" t="s">
        <v>58</v>
      </c>
      <c r="O20" s="103" t="s">
        <v>59</v>
      </c>
      <c r="P20" s="103" t="s">
        <v>60</v>
      </c>
      <c r="Q20" s="103" t="s">
        <v>61</v>
      </c>
      <c r="R20" s="103" t="s">
        <v>62</v>
      </c>
      <c r="S20" s="103" t="s">
        <v>90</v>
      </c>
      <c r="T20" s="103" t="s">
        <v>64</v>
      </c>
      <c r="U20" s="107" t="s">
        <v>65</v>
      </c>
      <c r="V20" s="103">
        <v>1.42</v>
      </c>
      <c r="W20" s="103" t="s">
        <v>172</v>
      </c>
      <c r="X20" s="103" t="s">
        <v>66</v>
      </c>
    </row>
    <row r="21" spans="1:24" ht="69" customHeight="1">
      <c r="A21" s="103" t="s">
        <v>115</v>
      </c>
      <c r="B21" s="104">
        <v>46095</v>
      </c>
      <c r="C21" s="103"/>
      <c r="D21" s="103"/>
      <c r="E21" s="103" t="s">
        <v>49</v>
      </c>
      <c r="F21" s="103" t="s">
        <v>50</v>
      </c>
      <c r="G21" s="103" t="s">
        <v>51</v>
      </c>
      <c r="H21" s="103" t="s">
        <v>52</v>
      </c>
      <c r="I21" s="103" t="s">
        <v>53</v>
      </c>
      <c r="J21" s="103" t="s">
        <v>54</v>
      </c>
      <c r="K21" s="103" t="s">
        <v>55</v>
      </c>
      <c r="L21" s="103" t="s">
        <v>56</v>
      </c>
      <c r="M21" s="104" t="s">
        <v>116</v>
      </c>
      <c r="N21" s="103" t="s">
        <v>58</v>
      </c>
      <c r="O21" s="103" t="s">
        <v>59</v>
      </c>
      <c r="P21" s="103" t="s">
        <v>60</v>
      </c>
      <c r="Q21" s="103" t="s">
        <v>61</v>
      </c>
      <c r="R21" s="103" t="s">
        <v>62</v>
      </c>
      <c r="S21" s="103" t="s">
        <v>63</v>
      </c>
      <c r="T21" s="103" t="s">
        <v>64</v>
      </c>
      <c r="U21" s="107" t="s">
        <v>65</v>
      </c>
      <c r="V21" s="103">
        <v>1.42</v>
      </c>
      <c r="W21" s="103" t="s">
        <v>172</v>
      </c>
      <c r="X21" s="103" t="s">
        <v>66</v>
      </c>
    </row>
    <row r="22" spans="1:24" ht="69" customHeight="1">
      <c r="A22" s="103" t="s">
        <v>117</v>
      </c>
      <c r="B22" s="104">
        <v>46095</v>
      </c>
      <c r="C22" s="103"/>
      <c r="D22" s="103"/>
      <c r="E22" s="103" t="s">
        <v>49</v>
      </c>
      <c r="F22" s="103" t="s">
        <v>50</v>
      </c>
      <c r="G22" s="103" t="s">
        <v>51</v>
      </c>
      <c r="H22" s="103" t="s">
        <v>52</v>
      </c>
      <c r="I22" s="103" t="s">
        <v>53</v>
      </c>
      <c r="J22" s="103" t="s">
        <v>54</v>
      </c>
      <c r="K22" s="103" t="s">
        <v>55</v>
      </c>
      <c r="L22" s="103" t="s">
        <v>56</v>
      </c>
      <c r="M22" s="104" t="s">
        <v>116</v>
      </c>
      <c r="N22" s="103" t="s">
        <v>58</v>
      </c>
      <c r="O22" s="103" t="s">
        <v>59</v>
      </c>
      <c r="P22" s="103" t="s">
        <v>60</v>
      </c>
      <c r="Q22" s="103" t="s">
        <v>61</v>
      </c>
      <c r="R22" s="103" t="s">
        <v>62</v>
      </c>
      <c r="S22" s="103" t="s">
        <v>90</v>
      </c>
      <c r="T22" s="103" t="s">
        <v>64</v>
      </c>
      <c r="U22" s="107" t="s">
        <v>65</v>
      </c>
      <c r="V22" s="103">
        <v>1.42</v>
      </c>
      <c r="W22" s="103" t="s">
        <v>172</v>
      </c>
      <c r="X22" s="103" t="s">
        <v>66</v>
      </c>
    </row>
    <row r="23" spans="1:24" ht="69" customHeight="1">
      <c r="A23" s="103" t="s">
        <v>118</v>
      </c>
      <c r="B23" s="104">
        <v>46098</v>
      </c>
      <c r="C23" s="103"/>
      <c r="D23" s="103"/>
      <c r="E23" s="103" t="s">
        <v>49</v>
      </c>
      <c r="F23" s="103" t="s">
        <v>50</v>
      </c>
      <c r="G23" s="103" t="s">
        <v>51</v>
      </c>
      <c r="H23" s="103" t="s">
        <v>52</v>
      </c>
      <c r="I23" s="103" t="s">
        <v>53</v>
      </c>
      <c r="J23" s="103" t="s">
        <v>54</v>
      </c>
      <c r="K23" s="103" t="s">
        <v>55</v>
      </c>
      <c r="L23" s="103" t="s">
        <v>145</v>
      </c>
      <c r="M23" s="104" t="s">
        <v>119</v>
      </c>
      <c r="N23" s="103" t="s">
        <v>58</v>
      </c>
      <c r="O23" s="103" t="s">
        <v>59</v>
      </c>
      <c r="P23" s="103" t="s">
        <v>146</v>
      </c>
      <c r="Q23" s="103" t="s">
        <v>61</v>
      </c>
      <c r="R23" s="103" t="s">
        <v>62</v>
      </c>
      <c r="S23" s="103" t="s">
        <v>120</v>
      </c>
      <c r="T23" s="103">
        <v>1315</v>
      </c>
      <c r="U23" s="107">
        <v>10</v>
      </c>
      <c r="V23" s="103">
        <v>1.51</v>
      </c>
      <c r="W23" s="103" t="s">
        <v>172</v>
      </c>
      <c r="X23" s="103" t="s">
        <v>66</v>
      </c>
    </row>
    <row r="24" spans="1:24" ht="69" customHeight="1">
      <c r="A24" s="103" t="s">
        <v>118</v>
      </c>
      <c r="B24" s="104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4"/>
      <c r="N24" s="103"/>
      <c r="O24" s="103"/>
      <c r="P24" s="103"/>
      <c r="Q24" s="103"/>
      <c r="R24" s="103" t="s">
        <v>62</v>
      </c>
      <c r="S24" s="103" t="s">
        <v>121</v>
      </c>
      <c r="T24" s="103">
        <v>657</v>
      </c>
      <c r="U24" s="107">
        <v>10</v>
      </c>
      <c r="V24" s="103">
        <v>1.56</v>
      </c>
      <c r="W24" s="103"/>
      <c r="X24" s="103"/>
    </row>
    <row r="25" spans="1:24" ht="69" customHeight="1">
      <c r="A25" s="103" t="s">
        <v>118</v>
      </c>
      <c r="B25" s="104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4"/>
      <c r="N25" s="103"/>
      <c r="O25" s="103"/>
      <c r="P25" s="103"/>
      <c r="Q25" s="103"/>
      <c r="R25" s="103" t="s">
        <v>62</v>
      </c>
      <c r="S25" s="103" t="s">
        <v>122</v>
      </c>
      <c r="T25" s="103">
        <v>657</v>
      </c>
      <c r="U25" s="107">
        <v>10</v>
      </c>
      <c r="V25" s="103">
        <v>1.56</v>
      </c>
      <c r="W25" s="103"/>
      <c r="X25" s="103"/>
    </row>
    <row r="26" spans="1:24" ht="69" customHeight="1">
      <c r="A26" s="103" t="s">
        <v>123</v>
      </c>
      <c r="B26" s="104">
        <v>46098</v>
      </c>
      <c r="C26" s="103"/>
      <c r="D26" s="103"/>
      <c r="E26" s="103" t="s">
        <v>49</v>
      </c>
      <c r="F26" s="103" t="s">
        <v>50</v>
      </c>
      <c r="G26" s="103" t="s">
        <v>51</v>
      </c>
      <c r="H26" s="103" t="s">
        <v>52</v>
      </c>
      <c r="I26" s="103" t="s">
        <v>53</v>
      </c>
      <c r="J26" s="103" t="s">
        <v>54</v>
      </c>
      <c r="K26" s="103" t="s">
        <v>55</v>
      </c>
      <c r="L26" s="103" t="s">
        <v>145</v>
      </c>
      <c r="M26" s="104" t="s">
        <v>119</v>
      </c>
      <c r="N26" s="103" t="s">
        <v>58</v>
      </c>
      <c r="O26" s="103" t="s">
        <v>59</v>
      </c>
      <c r="P26" s="103" t="s">
        <v>146</v>
      </c>
      <c r="Q26" s="103" t="s">
        <v>61</v>
      </c>
      <c r="R26" s="103" t="s">
        <v>62</v>
      </c>
      <c r="S26" s="103" t="s">
        <v>120</v>
      </c>
      <c r="T26" s="103">
        <v>1315</v>
      </c>
      <c r="U26" s="107">
        <v>10</v>
      </c>
      <c r="V26" s="103">
        <v>1.51</v>
      </c>
      <c r="W26" s="103" t="s">
        <v>172</v>
      </c>
      <c r="X26" s="103" t="s">
        <v>66</v>
      </c>
    </row>
    <row r="27" spans="1:24" ht="69" customHeight="1">
      <c r="A27" s="103" t="s">
        <v>123</v>
      </c>
      <c r="B27" s="104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4"/>
      <c r="N27" s="103"/>
      <c r="O27" s="103"/>
      <c r="P27" s="103"/>
      <c r="Q27" s="103"/>
      <c r="R27" s="103" t="s">
        <v>62</v>
      </c>
      <c r="S27" s="103" t="s">
        <v>121</v>
      </c>
      <c r="T27" s="103">
        <v>657</v>
      </c>
      <c r="U27" s="107">
        <v>10</v>
      </c>
      <c r="V27" s="103">
        <v>1.56</v>
      </c>
      <c r="W27" s="103"/>
      <c r="X27" s="103"/>
    </row>
    <row r="28" spans="1:24" ht="69" customHeight="1">
      <c r="A28" s="103" t="s">
        <v>123</v>
      </c>
      <c r="B28" s="104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4"/>
      <c r="N28" s="103"/>
      <c r="O28" s="103"/>
      <c r="P28" s="103"/>
      <c r="Q28" s="103"/>
      <c r="R28" s="103" t="s">
        <v>62</v>
      </c>
      <c r="S28" s="103" t="s">
        <v>122</v>
      </c>
      <c r="T28" s="103">
        <v>657</v>
      </c>
      <c r="U28" s="107">
        <v>10</v>
      </c>
      <c r="V28" s="103">
        <v>1.56</v>
      </c>
      <c r="W28" s="103"/>
      <c r="X28" s="103"/>
    </row>
    <row r="29" spans="1:24" ht="69" customHeight="1">
      <c r="A29" s="103" t="s">
        <v>124</v>
      </c>
      <c r="B29" s="104">
        <v>46098</v>
      </c>
      <c r="C29" s="103"/>
      <c r="D29" s="103"/>
      <c r="E29" s="103" t="s">
        <v>49</v>
      </c>
      <c r="F29" s="103" t="s">
        <v>50</v>
      </c>
      <c r="G29" s="103" t="s">
        <v>51</v>
      </c>
      <c r="H29" s="103" t="s">
        <v>52</v>
      </c>
      <c r="I29" s="103" t="s">
        <v>53</v>
      </c>
      <c r="J29" s="103" t="s">
        <v>54</v>
      </c>
      <c r="K29" s="103" t="s">
        <v>55</v>
      </c>
      <c r="L29" s="103" t="s">
        <v>145</v>
      </c>
      <c r="M29" s="104" t="s">
        <v>95</v>
      </c>
      <c r="N29" s="103" t="s">
        <v>58</v>
      </c>
      <c r="O29" s="103" t="s">
        <v>59</v>
      </c>
      <c r="P29" s="103" t="s">
        <v>146</v>
      </c>
      <c r="Q29" s="103" t="s">
        <v>61</v>
      </c>
      <c r="R29" s="103" t="s">
        <v>62</v>
      </c>
      <c r="S29" s="103" t="s">
        <v>120</v>
      </c>
      <c r="T29" s="103">
        <v>1315</v>
      </c>
      <c r="U29" s="107">
        <v>10</v>
      </c>
      <c r="V29" s="103">
        <v>1.51</v>
      </c>
      <c r="W29" s="103" t="s">
        <v>172</v>
      </c>
      <c r="X29" s="103" t="s">
        <v>66</v>
      </c>
    </row>
    <row r="30" spans="1:24" ht="69" customHeight="1">
      <c r="A30" s="103" t="s">
        <v>124</v>
      </c>
      <c r="B30" s="104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4"/>
      <c r="N30" s="103"/>
      <c r="O30" s="103"/>
      <c r="P30" s="103"/>
      <c r="Q30" s="103"/>
      <c r="R30" s="103" t="s">
        <v>62</v>
      </c>
      <c r="S30" s="103" t="s">
        <v>121</v>
      </c>
      <c r="T30" s="103">
        <v>657</v>
      </c>
      <c r="U30" s="107">
        <v>10</v>
      </c>
      <c r="V30" s="103">
        <v>1.56</v>
      </c>
      <c r="W30" s="103"/>
      <c r="X30" s="103"/>
    </row>
    <row r="31" spans="1:24" ht="69" customHeight="1">
      <c r="A31" s="103" t="s">
        <v>124</v>
      </c>
      <c r="B31" s="104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4"/>
      <c r="N31" s="103"/>
      <c r="O31" s="103"/>
      <c r="P31" s="103"/>
      <c r="Q31" s="103"/>
      <c r="R31" s="103" t="s">
        <v>62</v>
      </c>
      <c r="S31" s="103" t="s">
        <v>122</v>
      </c>
      <c r="T31" s="103">
        <v>657</v>
      </c>
      <c r="U31" s="107">
        <v>10</v>
      </c>
      <c r="V31" s="103">
        <v>1.56</v>
      </c>
      <c r="W31" s="103"/>
      <c r="X31" s="103"/>
    </row>
    <row r="32" spans="1:24" ht="69" customHeight="1">
      <c r="A32" s="103" t="s">
        <v>125</v>
      </c>
      <c r="B32" s="104">
        <v>46098</v>
      </c>
      <c r="C32" s="103"/>
      <c r="D32" s="103"/>
      <c r="E32" s="103" t="s">
        <v>49</v>
      </c>
      <c r="F32" s="103" t="s">
        <v>50</v>
      </c>
      <c r="G32" s="103" t="s">
        <v>51</v>
      </c>
      <c r="H32" s="103" t="s">
        <v>52</v>
      </c>
      <c r="I32" s="103" t="s">
        <v>53</v>
      </c>
      <c r="J32" s="103" t="s">
        <v>54</v>
      </c>
      <c r="K32" s="103" t="s">
        <v>55</v>
      </c>
      <c r="L32" s="103" t="s">
        <v>145</v>
      </c>
      <c r="M32" s="104" t="s">
        <v>95</v>
      </c>
      <c r="N32" s="103" t="s">
        <v>58</v>
      </c>
      <c r="O32" s="103" t="s">
        <v>59</v>
      </c>
      <c r="P32" s="103" t="s">
        <v>146</v>
      </c>
      <c r="Q32" s="103" t="s">
        <v>61</v>
      </c>
      <c r="R32" s="103" t="s">
        <v>62</v>
      </c>
      <c r="S32" s="103" t="s">
        <v>120</v>
      </c>
      <c r="T32" s="103">
        <v>1315</v>
      </c>
      <c r="U32" s="107">
        <v>10</v>
      </c>
      <c r="V32" s="103">
        <v>1.51</v>
      </c>
      <c r="W32" s="103" t="s">
        <v>172</v>
      </c>
      <c r="X32" s="103" t="s">
        <v>66</v>
      </c>
    </row>
    <row r="33" spans="1:24" ht="69" customHeight="1">
      <c r="A33" s="103" t="s">
        <v>125</v>
      </c>
      <c r="B33" s="104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  <c r="N33" s="103"/>
      <c r="O33" s="103"/>
      <c r="P33" s="103"/>
      <c r="Q33" s="103"/>
      <c r="R33" s="103" t="s">
        <v>62</v>
      </c>
      <c r="S33" s="103" t="s">
        <v>121</v>
      </c>
      <c r="T33" s="103">
        <v>657</v>
      </c>
      <c r="U33" s="107">
        <v>10</v>
      </c>
      <c r="V33" s="103">
        <v>1.56</v>
      </c>
      <c r="W33" s="103"/>
      <c r="X33" s="103"/>
    </row>
    <row r="34" spans="1:24" ht="69" customHeight="1">
      <c r="A34" s="103" t="s">
        <v>125</v>
      </c>
      <c r="B34" s="104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  <c r="N34" s="103"/>
      <c r="O34" s="103"/>
      <c r="P34" s="103"/>
      <c r="Q34" s="103"/>
      <c r="R34" s="103" t="s">
        <v>62</v>
      </c>
      <c r="S34" s="103" t="s">
        <v>122</v>
      </c>
      <c r="T34" s="103">
        <v>657</v>
      </c>
      <c r="U34" s="107">
        <v>10</v>
      </c>
      <c r="V34" s="103">
        <v>1.56</v>
      </c>
      <c r="W34" s="103"/>
      <c r="X34" s="103"/>
    </row>
    <row r="35" spans="1:24" ht="69" customHeight="1">
      <c r="A35" s="103" t="s">
        <v>147</v>
      </c>
      <c r="B35" s="104">
        <v>46098</v>
      </c>
      <c r="C35" s="103"/>
      <c r="D35" s="103"/>
      <c r="E35" s="103" t="s">
        <v>49</v>
      </c>
      <c r="F35" s="103" t="s">
        <v>50</v>
      </c>
      <c r="G35" s="103" t="s">
        <v>51</v>
      </c>
      <c r="H35" s="103" t="s">
        <v>52</v>
      </c>
      <c r="I35" s="103" t="s">
        <v>53</v>
      </c>
      <c r="J35" s="103" t="s">
        <v>54</v>
      </c>
      <c r="K35" s="103" t="s">
        <v>55</v>
      </c>
      <c r="L35" s="103" t="s">
        <v>145</v>
      </c>
      <c r="M35" s="104" t="s">
        <v>151</v>
      </c>
      <c r="N35" s="103" t="s">
        <v>58</v>
      </c>
      <c r="O35" s="103" t="s">
        <v>148</v>
      </c>
      <c r="P35" s="103" t="s">
        <v>146</v>
      </c>
      <c r="Q35" s="103" t="s">
        <v>61</v>
      </c>
      <c r="R35" s="103" t="s">
        <v>62</v>
      </c>
      <c r="S35" s="103" t="s">
        <v>149</v>
      </c>
      <c r="T35" s="103">
        <v>1370</v>
      </c>
      <c r="U35" s="107">
        <v>20</v>
      </c>
      <c r="V35" s="103">
        <v>1.45</v>
      </c>
      <c r="W35" s="103" t="s">
        <v>172</v>
      </c>
      <c r="X35" s="103" t="s">
        <v>66</v>
      </c>
    </row>
    <row r="36" spans="1:24" ht="69" customHeight="1">
      <c r="A36" s="103" t="s">
        <v>150</v>
      </c>
      <c r="B36" s="104">
        <v>46098</v>
      </c>
      <c r="C36" s="103"/>
      <c r="D36" s="103"/>
      <c r="E36" s="103" t="s">
        <v>49</v>
      </c>
      <c r="F36" s="103" t="s">
        <v>50</v>
      </c>
      <c r="G36" s="103" t="s">
        <v>51</v>
      </c>
      <c r="H36" s="103" t="s">
        <v>52</v>
      </c>
      <c r="I36" s="103" t="s">
        <v>53</v>
      </c>
      <c r="J36" s="103" t="s">
        <v>54</v>
      </c>
      <c r="K36" s="103" t="s">
        <v>55</v>
      </c>
      <c r="L36" s="103" t="s">
        <v>145</v>
      </c>
      <c r="M36" s="104" t="s">
        <v>151</v>
      </c>
      <c r="N36" s="103" t="s">
        <v>58</v>
      </c>
      <c r="O36" s="103" t="s">
        <v>148</v>
      </c>
      <c r="P36" s="103" t="s">
        <v>146</v>
      </c>
      <c r="Q36" s="103" t="s">
        <v>61</v>
      </c>
      <c r="R36" s="103" t="s">
        <v>62</v>
      </c>
      <c r="S36" s="103" t="s">
        <v>149</v>
      </c>
      <c r="T36" s="103">
        <v>1370</v>
      </c>
      <c r="U36" s="107">
        <v>20</v>
      </c>
      <c r="V36" s="103">
        <v>1.45</v>
      </c>
      <c r="W36" s="103" t="s">
        <v>172</v>
      </c>
      <c r="X36" s="103" t="s">
        <v>66</v>
      </c>
    </row>
    <row r="37" spans="1:24" ht="69" customHeight="1">
      <c r="A37" s="103" t="s">
        <v>152</v>
      </c>
      <c r="B37" s="104">
        <v>46100</v>
      </c>
      <c r="C37" s="103"/>
      <c r="D37" s="103"/>
      <c r="E37" s="103" t="s">
        <v>153</v>
      </c>
      <c r="F37" s="103" t="s">
        <v>154</v>
      </c>
      <c r="G37" s="103" t="s">
        <v>51</v>
      </c>
      <c r="H37" s="103" t="s">
        <v>52</v>
      </c>
      <c r="I37" s="103" t="s">
        <v>53</v>
      </c>
      <c r="J37" s="103" t="s">
        <v>54</v>
      </c>
      <c r="K37" s="103" t="s">
        <v>55</v>
      </c>
      <c r="L37" s="103" t="s">
        <v>173</v>
      </c>
      <c r="M37" s="104" t="s">
        <v>155</v>
      </c>
      <c r="N37" s="103" t="s">
        <v>156</v>
      </c>
      <c r="O37" s="103" t="s">
        <v>157</v>
      </c>
      <c r="P37" s="103" t="s">
        <v>158</v>
      </c>
      <c r="Q37" s="103" t="s">
        <v>61</v>
      </c>
      <c r="R37" s="103" t="s">
        <v>159</v>
      </c>
      <c r="S37" s="103" t="s">
        <v>160</v>
      </c>
      <c r="T37" s="103">
        <v>500</v>
      </c>
      <c r="U37" s="107">
        <v>10</v>
      </c>
      <c r="V37" s="103">
        <v>1.88</v>
      </c>
      <c r="W37" s="103" t="s">
        <v>172</v>
      </c>
      <c r="X37" s="103" t="s">
        <v>66</v>
      </c>
    </row>
    <row r="38" spans="1:24" ht="69" customHeight="1">
      <c r="A38" s="103" t="s">
        <v>152</v>
      </c>
      <c r="B38" s="104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4"/>
      <c r="N38" s="103"/>
      <c r="O38" s="103"/>
      <c r="P38" s="103"/>
      <c r="Q38" s="103"/>
      <c r="R38" s="103" t="s">
        <v>159</v>
      </c>
      <c r="S38" s="103" t="s">
        <v>161</v>
      </c>
      <c r="T38" s="103">
        <v>1800</v>
      </c>
      <c r="U38" s="107">
        <v>10</v>
      </c>
      <c r="V38" s="103">
        <v>1.92</v>
      </c>
      <c r="W38" s="103"/>
      <c r="X38" s="103"/>
    </row>
    <row r="39" spans="1:24" ht="69" customHeight="1">
      <c r="A39" s="103" t="s">
        <v>152</v>
      </c>
      <c r="B39" s="104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4"/>
      <c r="N39" s="103"/>
      <c r="O39" s="103"/>
      <c r="P39" s="103"/>
      <c r="Q39" s="103"/>
      <c r="R39" s="103" t="s">
        <v>159</v>
      </c>
      <c r="S39" s="103" t="s">
        <v>162</v>
      </c>
      <c r="T39" s="103">
        <v>200</v>
      </c>
      <c r="U39" s="107">
        <v>10</v>
      </c>
      <c r="V39" s="103">
        <v>1.94</v>
      </c>
      <c r="W39" s="103"/>
      <c r="X39" s="103"/>
    </row>
    <row r="40" spans="1:24" ht="69" customHeight="1">
      <c r="A40" s="103" t="s">
        <v>163</v>
      </c>
      <c r="B40" s="104">
        <v>46100</v>
      </c>
      <c r="C40" s="103"/>
      <c r="D40" s="103"/>
      <c r="E40" s="103" t="s">
        <v>153</v>
      </c>
      <c r="F40" s="103" t="s">
        <v>154</v>
      </c>
      <c r="G40" s="103" t="s">
        <v>51</v>
      </c>
      <c r="H40" s="103" t="s">
        <v>52</v>
      </c>
      <c r="I40" s="103" t="s">
        <v>53</v>
      </c>
      <c r="J40" s="103" t="s">
        <v>54</v>
      </c>
      <c r="K40" s="103" t="s">
        <v>55</v>
      </c>
      <c r="L40" s="103" t="s">
        <v>173</v>
      </c>
      <c r="M40" s="104" t="s">
        <v>151</v>
      </c>
      <c r="N40" s="103" t="s">
        <v>156</v>
      </c>
      <c r="O40" s="103" t="s">
        <v>157</v>
      </c>
      <c r="P40" s="103" t="s">
        <v>158</v>
      </c>
      <c r="Q40" s="103" t="s">
        <v>61</v>
      </c>
      <c r="R40" s="103" t="s">
        <v>159</v>
      </c>
      <c r="S40" s="103" t="s">
        <v>160</v>
      </c>
      <c r="T40" s="103">
        <v>300</v>
      </c>
      <c r="U40" s="107">
        <v>10</v>
      </c>
      <c r="V40" s="103">
        <v>1.88</v>
      </c>
      <c r="W40" s="103" t="s">
        <v>172</v>
      </c>
      <c r="X40" s="103" t="s">
        <v>66</v>
      </c>
    </row>
    <row r="41" spans="1:24" ht="69" customHeight="1">
      <c r="A41" s="103" t="s">
        <v>163</v>
      </c>
      <c r="B41" s="104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4"/>
      <c r="N41" s="103"/>
      <c r="O41" s="103"/>
      <c r="P41" s="103"/>
      <c r="Q41" s="103"/>
      <c r="R41" s="103" t="s">
        <v>159</v>
      </c>
      <c r="S41" s="103" t="s">
        <v>161</v>
      </c>
      <c r="T41" s="103">
        <v>2000</v>
      </c>
      <c r="U41" s="107">
        <v>10</v>
      </c>
      <c r="V41" s="103">
        <v>1.92</v>
      </c>
      <c r="W41" s="103"/>
      <c r="X41" s="103"/>
    </row>
    <row r="42" spans="1:24" ht="69" customHeight="1">
      <c r="A42" s="103" t="s">
        <v>163</v>
      </c>
      <c r="B42" s="104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4"/>
      <c r="N42" s="103"/>
      <c r="O42" s="103"/>
      <c r="P42" s="103"/>
      <c r="Q42" s="103"/>
      <c r="R42" s="103" t="s">
        <v>159</v>
      </c>
      <c r="S42" s="103" t="s">
        <v>162</v>
      </c>
      <c r="T42" s="103">
        <v>200</v>
      </c>
      <c r="U42" s="107">
        <v>10</v>
      </c>
      <c r="V42" s="103">
        <v>1.94</v>
      </c>
      <c r="W42" s="103"/>
      <c r="X42" s="103"/>
    </row>
    <row r="43" spans="1:24" ht="69" customHeight="1">
      <c r="A43" s="103" t="s">
        <v>164</v>
      </c>
      <c r="B43" s="104">
        <v>46100</v>
      </c>
      <c r="C43" s="103"/>
      <c r="D43" s="103"/>
      <c r="E43" s="103" t="s">
        <v>153</v>
      </c>
      <c r="F43" s="103" t="s">
        <v>154</v>
      </c>
      <c r="G43" s="103" t="s">
        <v>51</v>
      </c>
      <c r="H43" s="103" t="s">
        <v>52</v>
      </c>
      <c r="I43" s="103" t="s">
        <v>53</v>
      </c>
      <c r="J43" s="103" t="s">
        <v>54</v>
      </c>
      <c r="K43" s="103" t="s">
        <v>55</v>
      </c>
      <c r="L43" s="103" t="s">
        <v>173</v>
      </c>
      <c r="M43" s="104" t="s">
        <v>165</v>
      </c>
      <c r="N43" s="103" t="s">
        <v>156</v>
      </c>
      <c r="O43" s="103" t="s">
        <v>157</v>
      </c>
      <c r="P43" s="103" t="s">
        <v>158</v>
      </c>
      <c r="Q43" s="103" t="s">
        <v>61</v>
      </c>
      <c r="R43" s="103" t="s">
        <v>159</v>
      </c>
      <c r="S43" s="103" t="s">
        <v>160</v>
      </c>
      <c r="T43" s="103">
        <v>500</v>
      </c>
      <c r="U43" s="107">
        <v>10</v>
      </c>
      <c r="V43" s="103">
        <v>1.88</v>
      </c>
      <c r="W43" s="103" t="s">
        <v>172</v>
      </c>
      <c r="X43" s="103" t="s">
        <v>66</v>
      </c>
    </row>
    <row r="44" spans="1:24" ht="69" customHeight="1">
      <c r="A44" s="103" t="s">
        <v>164</v>
      </c>
      <c r="B44" s="104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4"/>
      <c r="N44" s="103"/>
      <c r="O44" s="103"/>
      <c r="P44" s="103"/>
      <c r="Q44" s="103"/>
      <c r="R44" s="103" t="s">
        <v>159</v>
      </c>
      <c r="S44" s="103" t="s">
        <v>161</v>
      </c>
      <c r="T44" s="103">
        <v>2000</v>
      </c>
      <c r="U44" s="107">
        <v>10</v>
      </c>
      <c r="V44" s="103">
        <v>1.92</v>
      </c>
      <c r="W44" s="103"/>
      <c r="X44" s="103"/>
    </row>
    <row r="45" spans="1:24" ht="69" customHeight="1">
      <c r="A45" s="103" t="s">
        <v>166</v>
      </c>
      <c r="B45" s="104">
        <v>46100</v>
      </c>
      <c r="C45" s="103"/>
      <c r="D45" s="103"/>
      <c r="E45" s="103" t="s">
        <v>153</v>
      </c>
      <c r="F45" s="103" t="s">
        <v>154</v>
      </c>
      <c r="G45" s="103" t="s">
        <v>51</v>
      </c>
      <c r="H45" s="103" t="s">
        <v>52</v>
      </c>
      <c r="I45" s="103" t="s">
        <v>53</v>
      </c>
      <c r="J45" s="103" t="s">
        <v>54</v>
      </c>
      <c r="K45" s="103" t="s">
        <v>55</v>
      </c>
      <c r="L45" s="103" t="s">
        <v>173</v>
      </c>
      <c r="M45" s="104" t="s">
        <v>168</v>
      </c>
      <c r="N45" s="103" t="s">
        <v>156</v>
      </c>
      <c r="O45" s="103" t="s">
        <v>157</v>
      </c>
      <c r="P45" s="103" t="s">
        <v>158</v>
      </c>
      <c r="Q45" s="103" t="s">
        <v>61</v>
      </c>
      <c r="R45" s="103" t="s">
        <v>159</v>
      </c>
      <c r="S45" s="103" t="s">
        <v>160</v>
      </c>
      <c r="T45" s="103">
        <v>400</v>
      </c>
      <c r="U45" s="107">
        <v>10</v>
      </c>
      <c r="V45" s="103">
        <v>1.88</v>
      </c>
      <c r="W45" s="103" t="s">
        <v>172</v>
      </c>
      <c r="X45" s="103" t="s">
        <v>66</v>
      </c>
    </row>
    <row r="46" spans="1:24" ht="69" customHeight="1">
      <c r="A46" s="103" t="s">
        <v>166</v>
      </c>
      <c r="B46" s="104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4"/>
      <c r="N46" s="103"/>
      <c r="O46" s="103"/>
      <c r="P46" s="103"/>
      <c r="Q46" s="103"/>
      <c r="R46" s="103" t="s">
        <v>159</v>
      </c>
      <c r="S46" s="103" t="s">
        <v>161</v>
      </c>
      <c r="T46" s="103">
        <v>1900</v>
      </c>
      <c r="U46" s="107">
        <v>10</v>
      </c>
      <c r="V46" s="103">
        <v>1.92</v>
      </c>
      <c r="W46" s="103"/>
      <c r="X46" s="103"/>
    </row>
    <row r="47" spans="1:24" ht="69" customHeight="1">
      <c r="A47" s="103" t="s">
        <v>166</v>
      </c>
      <c r="B47" s="104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4"/>
      <c r="N47" s="103"/>
      <c r="O47" s="103"/>
      <c r="P47" s="103"/>
      <c r="Q47" s="103"/>
      <c r="R47" s="103" t="s">
        <v>159</v>
      </c>
      <c r="S47" s="103" t="s">
        <v>162</v>
      </c>
      <c r="T47" s="103">
        <v>200</v>
      </c>
      <c r="U47" s="107">
        <v>10</v>
      </c>
      <c r="V47" s="103">
        <v>1.94</v>
      </c>
      <c r="W47" s="103"/>
      <c r="X47" s="103"/>
    </row>
    <row r="48" spans="1:24" ht="69" customHeight="1">
      <c r="A48" s="103" t="s">
        <v>167</v>
      </c>
      <c r="B48" s="104">
        <v>46100</v>
      </c>
      <c r="C48" s="103"/>
      <c r="D48" s="103"/>
      <c r="E48" s="103" t="s">
        <v>153</v>
      </c>
      <c r="F48" s="103" t="s">
        <v>154</v>
      </c>
      <c r="G48" s="103" t="s">
        <v>51</v>
      </c>
      <c r="H48" s="103" t="s">
        <v>52</v>
      </c>
      <c r="I48" s="103" t="s">
        <v>53</v>
      </c>
      <c r="J48" s="103" t="s">
        <v>54</v>
      </c>
      <c r="K48" s="103" t="s">
        <v>55</v>
      </c>
      <c r="L48" s="103" t="s">
        <v>173</v>
      </c>
      <c r="M48" s="104" t="s">
        <v>169</v>
      </c>
      <c r="N48" s="103" t="s">
        <v>156</v>
      </c>
      <c r="O48" s="103" t="s">
        <v>157</v>
      </c>
      <c r="P48" s="103" t="s">
        <v>158</v>
      </c>
      <c r="Q48" s="103" t="s">
        <v>61</v>
      </c>
      <c r="R48" s="103" t="s">
        <v>159</v>
      </c>
      <c r="S48" s="103" t="s">
        <v>160</v>
      </c>
      <c r="T48" s="103">
        <v>500</v>
      </c>
      <c r="U48" s="107">
        <v>10</v>
      </c>
      <c r="V48" s="103">
        <v>1.88</v>
      </c>
      <c r="W48" s="103" t="s">
        <v>172</v>
      </c>
      <c r="X48" s="103" t="s">
        <v>66</v>
      </c>
    </row>
    <row r="49" spans="1:24" ht="69" customHeight="1">
      <c r="A49" s="103" t="s">
        <v>167</v>
      </c>
      <c r="B49" s="104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4"/>
      <c r="N49" s="103"/>
      <c r="O49" s="103"/>
      <c r="P49" s="103"/>
      <c r="Q49" s="103"/>
      <c r="R49" s="103" t="s">
        <v>159</v>
      </c>
      <c r="S49" s="103" t="s">
        <v>161</v>
      </c>
      <c r="T49" s="103">
        <v>2000</v>
      </c>
      <c r="U49" s="107">
        <v>10</v>
      </c>
      <c r="V49" s="103">
        <v>1.92</v>
      </c>
      <c r="W49" s="103"/>
      <c r="X49" s="103"/>
    </row>
    <row r="50" spans="1:24" ht="69" customHeight="1">
      <c r="A50" s="103" t="s">
        <v>170</v>
      </c>
      <c r="B50" s="104">
        <v>46100</v>
      </c>
      <c r="C50" s="103"/>
      <c r="D50" s="103"/>
      <c r="E50" s="103" t="s">
        <v>153</v>
      </c>
      <c r="F50" s="103" t="s">
        <v>154</v>
      </c>
      <c r="G50" s="103" t="s">
        <v>51</v>
      </c>
      <c r="H50" s="103" t="s">
        <v>52</v>
      </c>
      <c r="I50" s="103" t="s">
        <v>53</v>
      </c>
      <c r="J50" s="103" t="s">
        <v>54</v>
      </c>
      <c r="K50" s="103" t="s">
        <v>55</v>
      </c>
      <c r="L50" s="103" t="s">
        <v>173</v>
      </c>
      <c r="M50" s="104" t="s">
        <v>155</v>
      </c>
      <c r="N50" s="103" t="s">
        <v>156</v>
      </c>
      <c r="O50" s="103" t="s">
        <v>157</v>
      </c>
      <c r="P50" s="103" t="s">
        <v>158</v>
      </c>
      <c r="Q50" s="103" t="s">
        <v>61</v>
      </c>
      <c r="R50" s="103" t="s">
        <v>159</v>
      </c>
      <c r="S50" s="103" t="s">
        <v>160</v>
      </c>
      <c r="T50" s="103">
        <v>400</v>
      </c>
      <c r="U50" s="107">
        <v>10</v>
      </c>
      <c r="V50" s="103">
        <v>1.88</v>
      </c>
      <c r="W50" s="103" t="s">
        <v>172</v>
      </c>
      <c r="X50" s="103" t="s">
        <v>66</v>
      </c>
    </row>
    <row r="51" spans="1:24" ht="69" customHeight="1">
      <c r="A51" s="103" t="s">
        <v>170</v>
      </c>
      <c r="B51" s="104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4"/>
      <c r="N51" s="103"/>
      <c r="O51" s="103"/>
      <c r="P51" s="103"/>
      <c r="Q51" s="103"/>
      <c r="R51" s="103" t="s">
        <v>159</v>
      </c>
      <c r="S51" s="103" t="s">
        <v>161</v>
      </c>
      <c r="T51" s="103">
        <v>1500</v>
      </c>
      <c r="U51" s="107">
        <v>10</v>
      </c>
      <c r="V51" s="103">
        <v>1.92</v>
      </c>
      <c r="W51" s="103"/>
      <c r="X51" s="103"/>
    </row>
    <row r="52" spans="1:24" ht="69" customHeight="1">
      <c r="A52" s="103" t="s">
        <v>170</v>
      </c>
      <c r="B52" s="104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4"/>
      <c r="N52" s="103"/>
      <c r="O52" s="103"/>
      <c r="P52" s="103"/>
      <c r="Q52" s="103"/>
      <c r="R52" s="103" t="s">
        <v>159</v>
      </c>
      <c r="S52" s="103" t="s">
        <v>162</v>
      </c>
      <c r="T52" s="103">
        <v>600</v>
      </c>
      <c r="U52" s="107">
        <v>10</v>
      </c>
      <c r="V52" s="103">
        <v>1.94</v>
      </c>
      <c r="W52" s="103"/>
      <c r="X52" s="103"/>
    </row>
    <row r="53" spans="1:24" ht="69" customHeight="1">
      <c r="A53" s="103" t="s">
        <v>174</v>
      </c>
      <c r="B53" s="104">
        <v>46100</v>
      </c>
      <c r="C53" s="103"/>
      <c r="D53" s="103"/>
      <c r="E53" s="103" t="s">
        <v>175</v>
      </c>
      <c r="F53" s="103" t="s">
        <v>176</v>
      </c>
      <c r="G53" s="103" t="s">
        <v>51</v>
      </c>
      <c r="H53" s="103" t="s">
        <v>52</v>
      </c>
      <c r="I53" s="103" t="s">
        <v>53</v>
      </c>
      <c r="J53" s="103" t="s">
        <v>54</v>
      </c>
      <c r="K53" s="103" t="s">
        <v>55</v>
      </c>
      <c r="L53" s="103" t="s">
        <v>173</v>
      </c>
      <c r="M53" s="104" t="s">
        <v>155</v>
      </c>
      <c r="N53" s="103" t="s">
        <v>156</v>
      </c>
      <c r="O53" s="103" t="s">
        <v>157</v>
      </c>
      <c r="P53" s="103" t="s">
        <v>158</v>
      </c>
      <c r="Q53" s="103" t="s">
        <v>61</v>
      </c>
      <c r="R53" s="103" t="s">
        <v>159</v>
      </c>
      <c r="S53" s="103" t="s">
        <v>160</v>
      </c>
      <c r="T53" s="103">
        <v>800</v>
      </c>
      <c r="U53" s="107">
        <v>10</v>
      </c>
      <c r="V53" s="103">
        <v>1.88</v>
      </c>
      <c r="W53" s="103" t="s">
        <v>172</v>
      </c>
      <c r="X53" s="103" t="s">
        <v>66</v>
      </c>
    </row>
    <row r="54" spans="1:24" ht="69" customHeight="1">
      <c r="A54" s="103" t="s">
        <v>174</v>
      </c>
      <c r="B54" s="104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4"/>
      <c r="N54" s="103"/>
      <c r="O54" s="103"/>
      <c r="P54" s="103"/>
      <c r="Q54" s="103"/>
      <c r="R54" s="103" t="s">
        <v>159</v>
      </c>
      <c r="S54" s="103" t="s">
        <v>161</v>
      </c>
      <c r="T54" s="103">
        <v>1500</v>
      </c>
      <c r="U54" s="107">
        <v>10</v>
      </c>
      <c r="V54" s="103">
        <v>1.92</v>
      </c>
      <c r="W54" s="103"/>
      <c r="X54" s="103"/>
    </row>
    <row r="55" spans="1:24" ht="69" customHeight="1">
      <c r="A55" s="103" t="s">
        <v>174</v>
      </c>
      <c r="B55" s="104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4"/>
      <c r="N55" s="103"/>
      <c r="O55" s="103"/>
      <c r="P55" s="103"/>
      <c r="Q55" s="103"/>
      <c r="R55" s="103" t="s">
        <v>159</v>
      </c>
      <c r="S55" s="103" t="s">
        <v>162</v>
      </c>
      <c r="T55" s="103">
        <v>200</v>
      </c>
      <c r="U55" s="107">
        <v>10</v>
      </c>
      <c r="V55" s="103">
        <v>1.94</v>
      </c>
      <c r="W55" s="103"/>
      <c r="X55" s="103"/>
    </row>
    <row r="56" spans="1:24" ht="69" customHeight="1">
      <c r="A56" s="103" t="s">
        <v>177</v>
      </c>
      <c r="B56" s="104">
        <v>46100</v>
      </c>
      <c r="C56" s="103"/>
      <c r="D56" s="103"/>
      <c r="E56" s="103" t="s">
        <v>175</v>
      </c>
      <c r="F56" s="103" t="s">
        <v>176</v>
      </c>
      <c r="G56" s="103" t="s">
        <v>51</v>
      </c>
      <c r="H56" s="103" t="s">
        <v>52</v>
      </c>
      <c r="I56" s="103" t="s">
        <v>53</v>
      </c>
      <c r="J56" s="103" t="s">
        <v>54</v>
      </c>
      <c r="K56" s="103" t="s">
        <v>55</v>
      </c>
      <c r="L56" s="103" t="s">
        <v>173</v>
      </c>
      <c r="M56" s="104" t="s">
        <v>151</v>
      </c>
      <c r="N56" s="103" t="s">
        <v>156</v>
      </c>
      <c r="O56" s="103" t="s">
        <v>157</v>
      </c>
      <c r="P56" s="103" t="s">
        <v>158</v>
      </c>
      <c r="Q56" s="103" t="s">
        <v>61</v>
      </c>
      <c r="R56" s="103" t="s">
        <v>159</v>
      </c>
      <c r="S56" s="103" t="s">
        <v>160</v>
      </c>
      <c r="T56" s="103">
        <v>800</v>
      </c>
      <c r="U56" s="107">
        <v>10</v>
      </c>
      <c r="V56" s="103">
        <v>1.88</v>
      </c>
      <c r="W56" s="103" t="s">
        <v>172</v>
      </c>
      <c r="X56" s="103" t="s">
        <v>66</v>
      </c>
    </row>
    <row r="57" spans="1:24" ht="69" customHeight="1">
      <c r="A57" s="103" t="s">
        <v>177</v>
      </c>
      <c r="B57" s="104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4"/>
      <c r="N57" s="103"/>
      <c r="O57" s="103"/>
      <c r="P57" s="103"/>
      <c r="Q57" s="103"/>
      <c r="R57" s="103" t="s">
        <v>159</v>
      </c>
      <c r="S57" s="103" t="s">
        <v>161</v>
      </c>
      <c r="T57" s="103">
        <v>1500</v>
      </c>
      <c r="U57" s="107">
        <v>10</v>
      </c>
      <c r="V57" s="103">
        <v>1.92</v>
      </c>
      <c r="W57" s="103"/>
      <c r="X57" s="103"/>
    </row>
    <row r="58" spans="1:24" ht="69" customHeight="1">
      <c r="A58" s="103" t="s">
        <v>177</v>
      </c>
      <c r="B58" s="104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4"/>
      <c r="N58" s="103"/>
      <c r="O58" s="103"/>
      <c r="P58" s="103"/>
      <c r="Q58" s="103"/>
      <c r="R58" s="103" t="s">
        <v>159</v>
      </c>
      <c r="S58" s="103" t="s">
        <v>162</v>
      </c>
      <c r="T58" s="103">
        <v>200</v>
      </c>
      <c r="U58" s="107">
        <v>10</v>
      </c>
      <c r="V58" s="103">
        <v>1.94</v>
      </c>
      <c r="W58" s="103"/>
      <c r="X58" s="103"/>
    </row>
    <row r="59" spans="1:24" ht="69" customHeight="1">
      <c r="A59" s="103" t="s">
        <v>178</v>
      </c>
      <c r="B59" s="104">
        <v>46100</v>
      </c>
      <c r="C59" s="103"/>
      <c r="D59" s="103"/>
      <c r="E59" s="103" t="s">
        <v>175</v>
      </c>
      <c r="F59" s="103" t="s">
        <v>176</v>
      </c>
      <c r="G59" s="103" t="s">
        <v>51</v>
      </c>
      <c r="H59" s="103" t="s">
        <v>52</v>
      </c>
      <c r="I59" s="103" t="s">
        <v>53</v>
      </c>
      <c r="J59" s="103" t="s">
        <v>54</v>
      </c>
      <c r="K59" s="103" t="s">
        <v>55</v>
      </c>
      <c r="L59" s="103" t="s">
        <v>189</v>
      </c>
      <c r="M59" s="104" t="s">
        <v>165</v>
      </c>
      <c r="N59" s="103" t="s">
        <v>156</v>
      </c>
      <c r="O59" s="103" t="s">
        <v>157</v>
      </c>
      <c r="P59" s="103" t="s">
        <v>158</v>
      </c>
      <c r="Q59" s="103" t="s">
        <v>61</v>
      </c>
      <c r="R59" s="103" t="s">
        <v>159</v>
      </c>
      <c r="S59" s="103" t="s">
        <v>160</v>
      </c>
      <c r="T59" s="103">
        <v>500</v>
      </c>
      <c r="U59" s="107">
        <v>10</v>
      </c>
      <c r="V59" s="103">
        <v>1.88</v>
      </c>
      <c r="W59" s="103" t="s">
        <v>172</v>
      </c>
      <c r="X59" s="103" t="s">
        <v>66</v>
      </c>
    </row>
    <row r="60" spans="1:24" ht="69" customHeight="1">
      <c r="A60" s="103" t="s">
        <v>178</v>
      </c>
      <c r="B60" s="104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4"/>
      <c r="N60" s="103"/>
      <c r="O60" s="103"/>
      <c r="P60" s="103"/>
      <c r="Q60" s="103"/>
      <c r="R60" s="103" t="s">
        <v>159</v>
      </c>
      <c r="S60" s="103" t="s">
        <v>161</v>
      </c>
      <c r="T60" s="103">
        <v>1900</v>
      </c>
      <c r="U60" s="107">
        <v>10</v>
      </c>
      <c r="V60" s="103">
        <v>1.92</v>
      </c>
      <c r="W60" s="103"/>
      <c r="X60" s="103"/>
    </row>
    <row r="61" spans="1:24" ht="69" customHeight="1">
      <c r="A61" s="103" t="s">
        <v>178</v>
      </c>
      <c r="B61" s="104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4"/>
      <c r="N61" s="103"/>
      <c r="O61" s="103"/>
      <c r="P61" s="103"/>
      <c r="Q61" s="103"/>
      <c r="R61" s="103" t="s">
        <v>159</v>
      </c>
      <c r="S61" s="103" t="s">
        <v>162</v>
      </c>
      <c r="T61" s="103">
        <v>100</v>
      </c>
      <c r="U61" s="107">
        <v>10</v>
      </c>
      <c r="V61" s="103">
        <v>1.94</v>
      </c>
      <c r="W61" s="103"/>
      <c r="X61" s="103"/>
    </row>
    <row r="62" spans="1:24" ht="69" customHeight="1">
      <c r="A62" s="103" t="s">
        <v>179</v>
      </c>
      <c r="B62" s="104">
        <v>46100</v>
      </c>
      <c r="C62" s="103"/>
      <c r="D62" s="103"/>
      <c r="E62" s="103" t="s">
        <v>175</v>
      </c>
      <c r="F62" s="103" t="s">
        <v>176</v>
      </c>
      <c r="G62" s="103" t="s">
        <v>51</v>
      </c>
      <c r="H62" s="103" t="s">
        <v>52</v>
      </c>
      <c r="I62" s="103" t="s">
        <v>53</v>
      </c>
      <c r="J62" s="103" t="s">
        <v>54</v>
      </c>
      <c r="K62" s="103" t="s">
        <v>55</v>
      </c>
      <c r="L62" s="103" t="s">
        <v>173</v>
      </c>
      <c r="M62" s="104" t="s">
        <v>168</v>
      </c>
      <c r="N62" s="103" t="s">
        <v>156</v>
      </c>
      <c r="O62" s="103" t="s">
        <v>157</v>
      </c>
      <c r="P62" s="103" t="s">
        <v>158</v>
      </c>
      <c r="Q62" s="103" t="s">
        <v>61</v>
      </c>
      <c r="R62" s="103" t="s">
        <v>159</v>
      </c>
      <c r="S62" s="103" t="s">
        <v>160</v>
      </c>
      <c r="T62" s="103">
        <v>500</v>
      </c>
      <c r="U62" s="107">
        <v>10</v>
      </c>
      <c r="V62" s="103">
        <v>1.88</v>
      </c>
      <c r="W62" s="103" t="s">
        <v>172</v>
      </c>
      <c r="X62" s="103" t="s">
        <v>66</v>
      </c>
    </row>
    <row r="63" spans="1:24" ht="69" customHeight="1">
      <c r="A63" s="103" t="s">
        <v>179</v>
      </c>
      <c r="B63" s="104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4"/>
      <c r="N63" s="103"/>
      <c r="O63" s="103"/>
      <c r="P63" s="103"/>
      <c r="Q63" s="103"/>
      <c r="R63" s="103" t="s">
        <v>159</v>
      </c>
      <c r="S63" s="103" t="s">
        <v>161</v>
      </c>
      <c r="T63" s="103">
        <v>1900</v>
      </c>
      <c r="U63" s="107">
        <v>10</v>
      </c>
      <c r="V63" s="103">
        <v>1.92</v>
      </c>
      <c r="W63" s="103"/>
      <c r="X63" s="103"/>
    </row>
    <row r="64" spans="1:24" ht="69" customHeight="1">
      <c r="A64" s="103" t="s">
        <v>179</v>
      </c>
      <c r="B64" s="104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4"/>
      <c r="N64" s="103"/>
      <c r="O64" s="103"/>
      <c r="P64" s="103"/>
      <c r="Q64" s="103"/>
      <c r="R64" s="103" t="s">
        <v>159</v>
      </c>
      <c r="S64" s="103" t="s">
        <v>162</v>
      </c>
      <c r="T64" s="103">
        <v>100</v>
      </c>
      <c r="U64" s="107">
        <v>10</v>
      </c>
      <c r="V64" s="103">
        <v>1.94</v>
      </c>
      <c r="W64" s="103"/>
      <c r="X64" s="103"/>
    </row>
    <row r="65" spans="1:24" ht="69" customHeight="1">
      <c r="A65" s="103" t="s">
        <v>180</v>
      </c>
      <c r="B65" s="104">
        <v>46100</v>
      </c>
      <c r="C65" s="103"/>
      <c r="D65" s="103"/>
      <c r="E65" s="103" t="s">
        <v>175</v>
      </c>
      <c r="F65" s="103" t="s">
        <v>176</v>
      </c>
      <c r="G65" s="103" t="s">
        <v>51</v>
      </c>
      <c r="H65" s="103" t="s">
        <v>52</v>
      </c>
      <c r="I65" s="103" t="s">
        <v>53</v>
      </c>
      <c r="J65" s="103" t="s">
        <v>54</v>
      </c>
      <c r="K65" s="103" t="s">
        <v>55</v>
      </c>
      <c r="L65" s="103" t="s">
        <v>173</v>
      </c>
      <c r="M65" s="104" t="s">
        <v>169</v>
      </c>
      <c r="N65" s="103" t="s">
        <v>156</v>
      </c>
      <c r="O65" s="103" t="s">
        <v>157</v>
      </c>
      <c r="P65" s="103" t="s">
        <v>158</v>
      </c>
      <c r="Q65" s="103" t="s">
        <v>61</v>
      </c>
      <c r="R65" s="103" t="s">
        <v>159</v>
      </c>
      <c r="S65" s="103" t="s">
        <v>160</v>
      </c>
      <c r="T65" s="103">
        <v>800</v>
      </c>
      <c r="U65" s="107">
        <v>10</v>
      </c>
      <c r="V65" s="103">
        <v>1.88</v>
      </c>
      <c r="W65" s="103" t="s">
        <v>172</v>
      </c>
      <c r="X65" s="103" t="s">
        <v>66</v>
      </c>
    </row>
    <row r="66" spans="1:24" ht="69" customHeight="1">
      <c r="A66" s="103" t="s">
        <v>180</v>
      </c>
      <c r="B66" s="104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4"/>
      <c r="N66" s="103"/>
      <c r="O66" s="103"/>
      <c r="P66" s="103"/>
      <c r="Q66" s="103"/>
      <c r="R66" s="103" t="s">
        <v>159</v>
      </c>
      <c r="S66" s="103" t="s">
        <v>161</v>
      </c>
      <c r="T66" s="103">
        <v>1500</v>
      </c>
      <c r="U66" s="107">
        <v>10</v>
      </c>
      <c r="V66" s="103">
        <v>1.92</v>
      </c>
      <c r="W66" s="103"/>
      <c r="X66" s="103"/>
    </row>
    <row r="67" spans="1:24" ht="69" customHeight="1">
      <c r="A67" s="103" t="s">
        <v>180</v>
      </c>
      <c r="B67" s="104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4"/>
      <c r="N67" s="103"/>
      <c r="O67" s="103"/>
      <c r="P67" s="103"/>
      <c r="Q67" s="103"/>
      <c r="R67" s="103" t="s">
        <v>159</v>
      </c>
      <c r="S67" s="103" t="s">
        <v>162</v>
      </c>
      <c r="T67" s="103">
        <v>200</v>
      </c>
      <c r="U67" s="107">
        <v>10</v>
      </c>
      <c r="V67" s="103">
        <v>1.94</v>
      </c>
      <c r="W67" s="103"/>
      <c r="X67" s="103"/>
    </row>
    <row r="68" spans="1:24" ht="69" customHeight="1">
      <c r="A68" s="103" t="s">
        <v>181</v>
      </c>
      <c r="B68" s="104">
        <v>46100</v>
      </c>
      <c r="C68" s="103"/>
      <c r="D68" s="103"/>
      <c r="E68" s="103" t="s">
        <v>175</v>
      </c>
      <c r="F68" s="103" t="s">
        <v>176</v>
      </c>
      <c r="G68" s="103" t="s">
        <v>51</v>
      </c>
      <c r="H68" s="103" t="s">
        <v>52</v>
      </c>
      <c r="I68" s="103" t="s">
        <v>53</v>
      </c>
      <c r="J68" s="103" t="s">
        <v>54</v>
      </c>
      <c r="K68" s="103" t="s">
        <v>55</v>
      </c>
      <c r="L68" s="103" t="s">
        <v>173</v>
      </c>
      <c r="M68" s="104" t="s">
        <v>182</v>
      </c>
      <c r="N68" s="103" t="s">
        <v>156</v>
      </c>
      <c r="O68" s="103" t="s">
        <v>157</v>
      </c>
      <c r="P68" s="103" t="s">
        <v>158</v>
      </c>
      <c r="Q68" s="103" t="s">
        <v>61</v>
      </c>
      <c r="R68" s="103" t="s">
        <v>159</v>
      </c>
      <c r="S68" s="103" t="s">
        <v>160</v>
      </c>
      <c r="T68" s="103">
        <v>500</v>
      </c>
      <c r="U68" s="107">
        <v>10</v>
      </c>
      <c r="V68" s="103">
        <v>1.88</v>
      </c>
      <c r="W68" s="103" t="s">
        <v>172</v>
      </c>
      <c r="X68" s="103" t="s">
        <v>66</v>
      </c>
    </row>
    <row r="69" spans="1:24" ht="69" customHeight="1">
      <c r="A69" s="103" t="s">
        <v>181</v>
      </c>
      <c r="B69" s="104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4"/>
      <c r="N69" s="103"/>
      <c r="O69" s="103"/>
      <c r="P69" s="103"/>
      <c r="Q69" s="103"/>
      <c r="R69" s="103" t="s">
        <v>159</v>
      </c>
      <c r="S69" s="103" t="s">
        <v>161</v>
      </c>
      <c r="T69" s="103">
        <v>1900</v>
      </c>
      <c r="U69" s="107">
        <v>10</v>
      </c>
      <c r="V69" s="103">
        <v>1.92</v>
      </c>
      <c r="W69" s="103"/>
      <c r="X69" s="103"/>
    </row>
    <row r="70" spans="1:24" ht="69" customHeight="1">
      <c r="A70" s="103" t="s">
        <v>181</v>
      </c>
      <c r="B70" s="104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4"/>
      <c r="N70" s="103"/>
      <c r="O70" s="103"/>
      <c r="P70" s="103"/>
      <c r="Q70" s="103"/>
      <c r="R70" s="103" t="s">
        <v>159</v>
      </c>
      <c r="S70" s="103" t="s">
        <v>162</v>
      </c>
      <c r="T70" s="103">
        <v>100</v>
      </c>
      <c r="U70" s="107">
        <v>10</v>
      </c>
      <c r="V70" s="103">
        <v>1.94</v>
      </c>
      <c r="W70" s="103"/>
      <c r="X70" s="103"/>
    </row>
    <row r="71" spans="1:24" ht="50" customHeight="1">
      <c r="A71" s="103"/>
      <c r="B71" s="104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4"/>
      <c r="N71" s="103"/>
      <c r="O71" s="103"/>
      <c r="P71" s="103"/>
      <c r="Q71" s="103"/>
      <c r="R71" s="103"/>
      <c r="S71" s="103"/>
      <c r="T71" s="103"/>
      <c r="U71" s="107"/>
      <c r="V71" s="103"/>
      <c r="W71" s="103"/>
      <c r="X71" s="103"/>
    </row>
    <row r="72" spans="1:24" ht="50" customHeight="1">
      <c r="A72" s="103"/>
      <c r="B72" s="104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4"/>
      <c r="N72" s="103"/>
      <c r="O72" s="103"/>
      <c r="P72" s="103"/>
      <c r="Q72" s="103"/>
      <c r="R72" s="103"/>
      <c r="S72" s="103"/>
      <c r="T72" s="103"/>
      <c r="U72" s="107"/>
      <c r="V72" s="103"/>
      <c r="W72" s="103"/>
      <c r="X72" s="103"/>
    </row>
    <row r="73" spans="1:24" ht="50" customHeight="1">
      <c r="A73" s="103"/>
      <c r="B73" s="104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4"/>
      <c r="N73" s="103"/>
      <c r="O73" s="103"/>
      <c r="P73" s="103"/>
      <c r="Q73" s="103"/>
      <c r="R73" s="103"/>
      <c r="S73" s="103"/>
      <c r="T73" s="103"/>
      <c r="U73" s="107"/>
      <c r="V73" s="103"/>
      <c r="W73" s="103"/>
      <c r="X73" s="103"/>
    </row>
    <row r="74" spans="1:24" ht="50" customHeight="1">
      <c r="A74" s="103"/>
      <c r="B74" s="104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4"/>
      <c r="N74" s="103"/>
      <c r="O74" s="103"/>
      <c r="P74" s="103"/>
      <c r="Q74" s="103"/>
      <c r="R74" s="103"/>
      <c r="S74" s="103"/>
      <c r="T74" s="103"/>
      <c r="U74" s="107"/>
      <c r="V74" s="103"/>
      <c r="W74" s="103"/>
      <c r="X74" s="103"/>
    </row>
    <row r="75" spans="1:24" ht="50" customHeight="1">
      <c r="A75" s="103"/>
      <c r="B75" s="104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4"/>
      <c r="N75" s="103"/>
      <c r="O75" s="103"/>
      <c r="P75" s="103"/>
      <c r="Q75" s="103"/>
      <c r="R75" s="103"/>
      <c r="S75" s="103"/>
      <c r="T75" s="103"/>
      <c r="U75" s="107"/>
      <c r="V75" s="103"/>
      <c r="W75" s="103"/>
      <c r="X75" s="103"/>
    </row>
    <row r="76" spans="1:24" ht="50" customHeight="1">
      <c r="A76" s="103"/>
      <c r="B76" s="104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4"/>
      <c r="N76" s="103"/>
      <c r="O76" s="103"/>
      <c r="P76" s="103"/>
      <c r="Q76" s="103"/>
      <c r="R76" s="103"/>
      <c r="S76" s="103"/>
      <c r="T76" s="103"/>
      <c r="U76" s="107"/>
      <c r="V76" s="103"/>
      <c r="W76" s="103"/>
      <c r="X76" s="103"/>
    </row>
    <row r="77" spans="1:24" ht="50" customHeight="1">
      <c r="A77" s="103"/>
      <c r="B77" s="104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4"/>
      <c r="N77" s="103"/>
      <c r="O77" s="103"/>
      <c r="P77" s="103"/>
      <c r="Q77" s="103"/>
      <c r="R77" s="103"/>
      <c r="S77" s="103"/>
      <c r="T77" s="103"/>
      <c r="U77" s="107"/>
      <c r="V77" s="103"/>
      <c r="W77" s="103"/>
      <c r="X77" s="103"/>
    </row>
    <row r="78" spans="1:24" ht="50" customHeight="1">
      <c r="A78" s="103"/>
      <c r="B78" s="104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4"/>
      <c r="N78" s="103"/>
      <c r="O78" s="103"/>
      <c r="P78" s="103"/>
      <c r="Q78" s="103"/>
      <c r="R78" s="103"/>
      <c r="S78" s="103"/>
      <c r="T78" s="103"/>
      <c r="U78" s="107"/>
      <c r="V78" s="103"/>
      <c r="W78" s="103"/>
      <c r="X78" s="103"/>
    </row>
    <row r="79" spans="1:24" ht="50" customHeight="1">
      <c r="A79" s="103"/>
      <c r="B79" s="104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4"/>
      <c r="N79" s="103"/>
      <c r="O79" s="103"/>
      <c r="P79" s="103"/>
      <c r="Q79" s="103"/>
      <c r="R79" s="103"/>
      <c r="S79" s="103"/>
      <c r="T79" s="103"/>
      <c r="U79" s="107"/>
      <c r="V79" s="103"/>
      <c r="W79" s="103"/>
      <c r="X79" s="103"/>
    </row>
    <row r="80" spans="1:24" ht="50" customHeight="1">
      <c r="A80" s="103"/>
      <c r="B80" s="104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4"/>
      <c r="N80" s="103"/>
      <c r="O80" s="103"/>
      <c r="P80" s="103"/>
      <c r="Q80" s="103"/>
      <c r="R80" s="103"/>
      <c r="S80" s="103"/>
      <c r="T80" s="103"/>
      <c r="U80" s="107"/>
      <c r="V80" s="103"/>
      <c r="W80" s="103"/>
      <c r="X80" s="103"/>
    </row>
    <row r="81" spans="1:24" ht="50" customHeight="1">
      <c r="A81" s="103"/>
      <c r="B81" s="104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4"/>
      <c r="N81" s="103"/>
      <c r="O81" s="103"/>
      <c r="P81" s="103"/>
      <c r="Q81" s="103"/>
      <c r="R81" s="103"/>
      <c r="S81" s="103"/>
      <c r="T81" s="103"/>
      <c r="U81" s="107"/>
      <c r="V81" s="103"/>
      <c r="W81" s="103"/>
      <c r="X81" s="103"/>
    </row>
    <row r="82" spans="1:24" ht="50" customHeight="1">
      <c r="A82" s="103"/>
      <c r="B82" s="104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4"/>
      <c r="N82" s="103"/>
      <c r="O82" s="103"/>
      <c r="P82" s="103"/>
      <c r="Q82" s="103"/>
      <c r="R82" s="103"/>
      <c r="S82" s="103"/>
      <c r="T82" s="103"/>
      <c r="U82" s="107"/>
      <c r="V82" s="103"/>
      <c r="W82" s="103"/>
      <c r="X82" s="103"/>
    </row>
    <row r="83" spans="1:24" ht="50" customHeight="1">
      <c r="A83" s="103"/>
      <c r="B83" s="104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4"/>
      <c r="N83" s="103"/>
      <c r="O83" s="103"/>
      <c r="P83" s="103"/>
      <c r="Q83" s="103"/>
      <c r="R83" s="103"/>
      <c r="S83" s="103"/>
      <c r="T83" s="103"/>
      <c r="U83" s="107"/>
      <c r="V83" s="103"/>
      <c r="W83" s="103"/>
      <c r="X83" s="103"/>
    </row>
    <row r="84" spans="1:24" ht="50" customHeight="1"/>
    <row r="85" spans="1:24" ht="50" customHeight="1"/>
  </sheetData>
  <phoneticPr fontId="2" type="noConversion"/>
  <pageMargins left="0.75" right="0.75" top="1" bottom="1" header="0.5" footer="0.5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6"/>
  <sheetViews>
    <sheetView tabSelected="1" zoomScale="80" zoomScaleNormal="80" workbookViewId="0">
      <pane xSplit="1" ySplit="2" topLeftCell="Q3" activePane="bottomRight" state="frozen"/>
      <selection pane="topRight" activeCell="B1" sqref="B1"/>
      <selection pane="bottomLeft" activeCell="A3" sqref="A3"/>
      <selection pane="bottomRight" activeCell="A23" sqref="A23:XFD23"/>
    </sheetView>
  </sheetViews>
  <sheetFormatPr baseColWidth="10" defaultColWidth="8.83203125" defaultRowHeight="16"/>
  <cols>
    <col min="1" max="2" width="20" style="30" customWidth="1"/>
    <col min="3" max="3" width="21" style="30" customWidth="1"/>
    <col min="4" max="4" width="20" style="30" customWidth="1"/>
    <col min="5" max="5" width="40" style="30" customWidth="1"/>
    <col min="6" max="6" width="60" style="30" customWidth="1"/>
    <col min="7" max="7" width="40" style="30" customWidth="1"/>
    <col min="8" max="8" width="60" style="30" customWidth="1"/>
    <col min="9" max="9" width="35" style="30" customWidth="1"/>
    <col min="10" max="10" width="60" style="30" customWidth="1"/>
    <col min="11" max="11" width="21" style="30" customWidth="1"/>
    <col min="12" max="12" width="25" style="30" customWidth="1"/>
    <col min="13" max="13" width="21" style="30" customWidth="1"/>
    <col min="14" max="14" width="20" style="30" customWidth="1"/>
    <col min="15" max="15" width="55" style="30" customWidth="1"/>
    <col min="16" max="17" width="20" style="30" customWidth="1"/>
    <col min="18" max="18" width="45" style="30" customWidth="1"/>
    <col min="19" max="19" width="60" style="30" customWidth="1"/>
    <col min="20" max="21" width="20" style="30" customWidth="1"/>
    <col min="22" max="22" width="25" style="30" customWidth="1"/>
    <col min="23" max="24" width="65" style="30" customWidth="1"/>
  </cols>
  <sheetData>
    <row r="1" spans="1:24" ht="30" customHeight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05" t="s">
        <v>5</v>
      </c>
      <c r="G1" s="105" t="s">
        <v>6</v>
      </c>
      <c r="H1" s="105" t="s">
        <v>7</v>
      </c>
      <c r="I1" s="105" t="s">
        <v>8</v>
      </c>
      <c r="J1" s="105" t="s">
        <v>9</v>
      </c>
      <c r="K1" s="105" t="s">
        <v>10</v>
      </c>
      <c r="L1" s="105" t="s">
        <v>11</v>
      </c>
      <c r="M1" s="105" t="s">
        <v>12</v>
      </c>
      <c r="N1" s="105" t="s">
        <v>13</v>
      </c>
      <c r="O1" s="105" t="s">
        <v>14</v>
      </c>
      <c r="P1" s="105" t="s">
        <v>15</v>
      </c>
      <c r="Q1" s="105" t="s">
        <v>16</v>
      </c>
      <c r="R1" s="105" t="s">
        <v>17</v>
      </c>
      <c r="S1" s="105" t="s">
        <v>18</v>
      </c>
      <c r="T1" s="105" t="s">
        <v>19</v>
      </c>
      <c r="U1" s="105" t="s">
        <v>20</v>
      </c>
      <c r="V1" s="105" t="s">
        <v>21</v>
      </c>
      <c r="W1" s="105" t="s">
        <v>22</v>
      </c>
      <c r="X1" s="105" t="s">
        <v>23</v>
      </c>
    </row>
    <row r="2" spans="1:24" ht="25" customHeight="1">
      <c r="A2" s="106" t="s">
        <v>24</v>
      </c>
      <c r="B2" s="106" t="s">
        <v>25</v>
      </c>
      <c r="C2" s="106" t="s">
        <v>26</v>
      </c>
      <c r="D2" s="106" t="s">
        <v>27</v>
      </c>
      <c r="E2" s="106" t="s">
        <v>28</v>
      </c>
      <c r="F2" s="106" t="s">
        <v>29</v>
      </c>
      <c r="G2" s="106" t="s">
        <v>30</v>
      </c>
      <c r="H2" s="106" t="s">
        <v>31</v>
      </c>
      <c r="I2" s="106" t="s">
        <v>32</v>
      </c>
      <c r="J2" s="106" t="s">
        <v>33</v>
      </c>
      <c r="K2" s="106" t="s">
        <v>34</v>
      </c>
      <c r="L2" s="106" t="s">
        <v>35</v>
      </c>
      <c r="M2" s="106" t="s">
        <v>36</v>
      </c>
      <c r="N2" s="106" t="s">
        <v>37</v>
      </c>
      <c r="O2" s="106" t="s">
        <v>38</v>
      </c>
      <c r="P2" s="106" t="s">
        <v>39</v>
      </c>
      <c r="Q2" s="106" t="s">
        <v>40</v>
      </c>
      <c r="R2" s="106" t="s">
        <v>41</v>
      </c>
      <c r="S2" s="106" t="s">
        <v>42</v>
      </c>
      <c r="T2" s="106" t="s">
        <v>43</v>
      </c>
      <c r="U2" s="106" t="s">
        <v>44</v>
      </c>
      <c r="V2" s="106" t="s">
        <v>45</v>
      </c>
      <c r="W2" s="106" t="s">
        <v>46</v>
      </c>
      <c r="X2" s="106" t="s">
        <v>47</v>
      </c>
    </row>
    <row r="3" spans="1:24" ht="100" customHeight="1">
      <c r="A3" s="103" t="s">
        <v>48</v>
      </c>
      <c r="B3" s="104">
        <v>46095</v>
      </c>
      <c r="C3" s="103"/>
      <c r="D3" s="103"/>
      <c r="E3" s="103" t="s">
        <v>51</v>
      </c>
      <c r="F3" s="103" t="s">
        <v>52</v>
      </c>
      <c r="G3" s="103" t="s">
        <v>53</v>
      </c>
      <c r="H3" s="103" t="s">
        <v>54</v>
      </c>
      <c r="I3" s="103" t="s">
        <v>53</v>
      </c>
      <c r="J3" s="103" t="s">
        <v>54</v>
      </c>
      <c r="K3" s="103" t="s">
        <v>55</v>
      </c>
      <c r="L3" s="103" t="s">
        <v>56</v>
      </c>
      <c r="M3" s="104" t="s">
        <v>88</v>
      </c>
      <c r="N3" s="103" t="s">
        <v>58</v>
      </c>
      <c r="O3" s="103" t="s">
        <v>59</v>
      </c>
      <c r="P3" s="103" t="s">
        <v>60</v>
      </c>
      <c r="Q3" s="103" t="s">
        <v>61</v>
      </c>
      <c r="R3" s="103" t="s">
        <v>62</v>
      </c>
      <c r="S3" s="103" t="s">
        <v>63</v>
      </c>
      <c r="T3" s="103" t="s">
        <v>64</v>
      </c>
      <c r="U3" s="107" t="s">
        <v>65</v>
      </c>
      <c r="V3" s="103">
        <v>1.38</v>
      </c>
      <c r="W3" s="107" t="s">
        <v>171</v>
      </c>
      <c r="X3" s="107" t="s">
        <v>66</v>
      </c>
    </row>
    <row r="4" spans="1:24" ht="100" customHeight="1">
      <c r="A4" s="103" t="s">
        <v>89</v>
      </c>
      <c r="B4" s="104">
        <v>46095</v>
      </c>
      <c r="C4" s="103"/>
      <c r="D4" s="103"/>
      <c r="E4" s="103" t="s">
        <v>51</v>
      </c>
      <c r="F4" s="103" t="s">
        <v>126</v>
      </c>
      <c r="G4" s="103" t="s">
        <v>53</v>
      </c>
      <c r="H4" s="103" t="s">
        <v>54</v>
      </c>
      <c r="I4" s="103" t="s">
        <v>53</v>
      </c>
      <c r="J4" s="103" t="s">
        <v>54</v>
      </c>
      <c r="K4" s="103" t="s">
        <v>55</v>
      </c>
      <c r="L4" s="103" t="s">
        <v>56</v>
      </c>
      <c r="M4" s="104" t="s">
        <v>88</v>
      </c>
      <c r="N4" s="103" t="s">
        <v>58</v>
      </c>
      <c r="O4" s="103" t="s">
        <v>59</v>
      </c>
      <c r="P4" s="103" t="s">
        <v>60</v>
      </c>
      <c r="Q4" s="103" t="s">
        <v>61</v>
      </c>
      <c r="R4" s="103" t="s">
        <v>62</v>
      </c>
      <c r="S4" s="103" t="s">
        <v>63</v>
      </c>
      <c r="T4" s="103" t="s">
        <v>64</v>
      </c>
      <c r="U4" s="107" t="s">
        <v>65</v>
      </c>
      <c r="V4" s="103">
        <v>1.38</v>
      </c>
      <c r="W4" s="107" t="s">
        <v>171</v>
      </c>
      <c r="X4" s="107" t="s">
        <v>66</v>
      </c>
    </row>
    <row r="5" spans="1:24" ht="100" customHeight="1">
      <c r="A5" s="103" t="s">
        <v>91</v>
      </c>
      <c r="B5" s="104">
        <v>46095</v>
      </c>
      <c r="C5" s="103"/>
      <c r="D5" s="103"/>
      <c r="E5" s="103" t="s">
        <v>51</v>
      </c>
      <c r="F5" s="103" t="s">
        <v>127</v>
      </c>
      <c r="G5" s="103" t="s">
        <v>53</v>
      </c>
      <c r="H5" s="103" t="s">
        <v>54</v>
      </c>
      <c r="I5" s="103" t="s">
        <v>53</v>
      </c>
      <c r="J5" s="103" t="s">
        <v>54</v>
      </c>
      <c r="K5" s="103" t="s">
        <v>55</v>
      </c>
      <c r="L5" s="103" t="s">
        <v>56</v>
      </c>
      <c r="M5" s="104" t="s">
        <v>92</v>
      </c>
      <c r="N5" s="103" t="s">
        <v>58</v>
      </c>
      <c r="O5" s="103" t="s">
        <v>59</v>
      </c>
      <c r="P5" s="103" t="s">
        <v>60</v>
      </c>
      <c r="Q5" s="103" t="s">
        <v>61</v>
      </c>
      <c r="R5" s="103" t="s">
        <v>62</v>
      </c>
      <c r="S5" s="103" t="s">
        <v>63</v>
      </c>
      <c r="T5" s="103" t="s">
        <v>64</v>
      </c>
      <c r="U5" s="107" t="s">
        <v>65</v>
      </c>
      <c r="V5" s="103">
        <v>1.38</v>
      </c>
      <c r="W5" s="107" t="s">
        <v>171</v>
      </c>
      <c r="X5" s="107" t="s">
        <v>66</v>
      </c>
    </row>
    <row r="6" spans="1:24" ht="100" customHeight="1">
      <c r="A6" s="103" t="s">
        <v>93</v>
      </c>
      <c r="B6" s="104">
        <v>46095</v>
      </c>
      <c r="C6" s="103"/>
      <c r="D6" s="103"/>
      <c r="E6" s="103" t="s">
        <v>51</v>
      </c>
      <c r="F6" s="103" t="s">
        <v>128</v>
      </c>
      <c r="G6" s="103" t="s">
        <v>53</v>
      </c>
      <c r="H6" s="103" t="s">
        <v>54</v>
      </c>
      <c r="I6" s="103" t="s">
        <v>53</v>
      </c>
      <c r="J6" s="103" t="s">
        <v>54</v>
      </c>
      <c r="K6" s="103" t="s">
        <v>55</v>
      </c>
      <c r="L6" s="103" t="s">
        <v>56</v>
      </c>
      <c r="M6" s="104" t="s">
        <v>92</v>
      </c>
      <c r="N6" s="103" t="s">
        <v>58</v>
      </c>
      <c r="O6" s="103" t="s">
        <v>59</v>
      </c>
      <c r="P6" s="103" t="s">
        <v>60</v>
      </c>
      <c r="Q6" s="103" t="s">
        <v>61</v>
      </c>
      <c r="R6" s="103" t="s">
        <v>62</v>
      </c>
      <c r="S6" s="103" t="s">
        <v>63</v>
      </c>
      <c r="T6" s="103" t="s">
        <v>64</v>
      </c>
      <c r="U6" s="107" t="s">
        <v>65</v>
      </c>
      <c r="V6" s="103">
        <v>1.38</v>
      </c>
      <c r="W6" s="107" t="s">
        <v>171</v>
      </c>
      <c r="X6" s="107" t="s">
        <v>66</v>
      </c>
    </row>
    <row r="7" spans="1:24" ht="100" customHeight="1">
      <c r="A7" s="103" t="s">
        <v>94</v>
      </c>
      <c r="B7" s="104">
        <v>46095</v>
      </c>
      <c r="C7" s="103"/>
      <c r="D7" s="103"/>
      <c r="E7" s="103" t="s">
        <v>51</v>
      </c>
      <c r="F7" s="103" t="s">
        <v>129</v>
      </c>
      <c r="G7" s="103" t="s">
        <v>53</v>
      </c>
      <c r="H7" s="103" t="s">
        <v>54</v>
      </c>
      <c r="I7" s="103" t="s">
        <v>53</v>
      </c>
      <c r="J7" s="103" t="s">
        <v>54</v>
      </c>
      <c r="K7" s="103" t="s">
        <v>55</v>
      </c>
      <c r="L7" s="103" t="s">
        <v>56</v>
      </c>
      <c r="M7" s="104" t="s">
        <v>95</v>
      </c>
      <c r="N7" s="103" t="s">
        <v>58</v>
      </c>
      <c r="O7" s="103" t="s">
        <v>59</v>
      </c>
      <c r="P7" s="103" t="s">
        <v>60</v>
      </c>
      <c r="Q7" s="103" t="s">
        <v>61</v>
      </c>
      <c r="R7" s="103" t="s">
        <v>62</v>
      </c>
      <c r="S7" s="103" t="s">
        <v>63</v>
      </c>
      <c r="T7" s="103" t="s">
        <v>64</v>
      </c>
      <c r="U7" s="107" t="s">
        <v>65</v>
      </c>
      <c r="V7" s="103">
        <v>1.38</v>
      </c>
      <c r="W7" s="107" t="s">
        <v>171</v>
      </c>
      <c r="X7" s="107" t="s">
        <v>66</v>
      </c>
    </row>
    <row r="8" spans="1:24" ht="100" customHeight="1">
      <c r="A8" s="103" t="s">
        <v>96</v>
      </c>
      <c r="B8" s="104">
        <v>46095</v>
      </c>
      <c r="C8" s="103"/>
      <c r="D8" s="103"/>
      <c r="E8" s="103" t="s">
        <v>51</v>
      </c>
      <c r="F8" s="103" t="s">
        <v>130</v>
      </c>
      <c r="G8" s="103" t="s">
        <v>53</v>
      </c>
      <c r="H8" s="103" t="s">
        <v>54</v>
      </c>
      <c r="I8" s="103" t="s">
        <v>53</v>
      </c>
      <c r="J8" s="103" t="s">
        <v>54</v>
      </c>
      <c r="K8" s="103" t="s">
        <v>55</v>
      </c>
      <c r="L8" s="103" t="s">
        <v>56</v>
      </c>
      <c r="M8" s="104" t="s">
        <v>95</v>
      </c>
      <c r="N8" s="103" t="s">
        <v>58</v>
      </c>
      <c r="O8" s="103" t="s">
        <v>59</v>
      </c>
      <c r="P8" s="103" t="s">
        <v>60</v>
      </c>
      <c r="Q8" s="103" t="s">
        <v>61</v>
      </c>
      <c r="R8" s="103" t="s">
        <v>62</v>
      </c>
      <c r="S8" s="103" t="s">
        <v>63</v>
      </c>
      <c r="T8" s="103" t="s">
        <v>64</v>
      </c>
      <c r="U8" s="107" t="s">
        <v>65</v>
      </c>
      <c r="V8" s="103">
        <v>1.38</v>
      </c>
      <c r="W8" s="107" t="s">
        <v>171</v>
      </c>
      <c r="X8" s="107" t="s">
        <v>66</v>
      </c>
    </row>
    <row r="9" spans="1:24" ht="100" customHeight="1">
      <c r="A9" s="103" t="s">
        <v>97</v>
      </c>
      <c r="B9" s="104">
        <v>46095</v>
      </c>
      <c r="C9" s="103"/>
      <c r="D9" s="103"/>
      <c r="E9" s="103" t="s">
        <v>51</v>
      </c>
      <c r="F9" s="103" t="s">
        <v>131</v>
      </c>
      <c r="G9" s="103" t="s">
        <v>53</v>
      </c>
      <c r="H9" s="103" t="s">
        <v>54</v>
      </c>
      <c r="I9" s="103" t="s">
        <v>53</v>
      </c>
      <c r="J9" s="103" t="s">
        <v>54</v>
      </c>
      <c r="K9" s="103" t="s">
        <v>55</v>
      </c>
      <c r="L9" s="103" t="s">
        <v>56</v>
      </c>
      <c r="M9" s="104" t="s">
        <v>98</v>
      </c>
      <c r="N9" s="103" t="s">
        <v>58</v>
      </c>
      <c r="O9" s="103" t="s">
        <v>59</v>
      </c>
      <c r="P9" s="103" t="s">
        <v>60</v>
      </c>
      <c r="Q9" s="103" t="s">
        <v>61</v>
      </c>
      <c r="R9" s="103" t="s">
        <v>62</v>
      </c>
      <c r="S9" s="103" t="s">
        <v>63</v>
      </c>
      <c r="T9" s="103" t="s">
        <v>64</v>
      </c>
      <c r="U9" s="107" t="s">
        <v>65</v>
      </c>
      <c r="V9" s="103">
        <v>1.38</v>
      </c>
      <c r="W9" s="107" t="s">
        <v>171</v>
      </c>
      <c r="X9" s="107" t="s">
        <v>66</v>
      </c>
    </row>
    <row r="10" spans="1:24" ht="100" customHeight="1">
      <c r="A10" s="103" t="s">
        <v>99</v>
      </c>
      <c r="B10" s="104">
        <v>46095</v>
      </c>
      <c r="C10" s="103"/>
      <c r="D10" s="103"/>
      <c r="E10" s="103" t="s">
        <v>51</v>
      </c>
      <c r="F10" s="103" t="s">
        <v>132</v>
      </c>
      <c r="G10" s="103" t="s">
        <v>53</v>
      </c>
      <c r="H10" s="103" t="s">
        <v>54</v>
      </c>
      <c r="I10" s="103" t="s">
        <v>53</v>
      </c>
      <c r="J10" s="103" t="s">
        <v>54</v>
      </c>
      <c r="K10" s="103" t="s">
        <v>55</v>
      </c>
      <c r="L10" s="103" t="s">
        <v>56</v>
      </c>
      <c r="M10" s="104" t="s">
        <v>98</v>
      </c>
      <c r="N10" s="103" t="s">
        <v>58</v>
      </c>
      <c r="O10" s="103" t="s">
        <v>59</v>
      </c>
      <c r="P10" s="103" t="s">
        <v>60</v>
      </c>
      <c r="Q10" s="103" t="s">
        <v>61</v>
      </c>
      <c r="R10" s="103" t="s">
        <v>62</v>
      </c>
      <c r="S10" s="103" t="s">
        <v>63</v>
      </c>
      <c r="T10" s="103" t="s">
        <v>64</v>
      </c>
      <c r="U10" s="107" t="s">
        <v>65</v>
      </c>
      <c r="V10" s="103">
        <v>1.38</v>
      </c>
      <c r="W10" s="107" t="s">
        <v>171</v>
      </c>
      <c r="X10" s="107" t="s">
        <v>66</v>
      </c>
    </row>
    <row r="11" spans="1:24" ht="100" customHeight="1">
      <c r="A11" s="103" t="s">
        <v>100</v>
      </c>
      <c r="B11" s="104">
        <v>46095</v>
      </c>
      <c r="C11" s="103"/>
      <c r="D11" s="103"/>
      <c r="E11" s="103" t="s">
        <v>51</v>
      </c>
      <c r="F11" s="103" t="s">
        <v>133</v>
      </c>
      <c r="G11" s="103" t="s">
        <v>53</v>
      </c>
      <c r="H11" s="103" t="s">
        <v>54</v>
      </c>
      <c r="I11" s="103" t="s">
        <v>53</v>
      </c>
      <c r="J11" s="103" t="s">
        <v>54</v>
      </c>
      <c r="K11" s="103" t="s">
        <v>55</v>
      </c>
      <c r="L11" s="103" t="s">
        <v>56</v>
      </c>
      <c r="M11" s="104" t="s">
        <v>101</v>
      </c>
      <c r="N11" s="103" t="s">
        <v>58</v>
      </c>
      <c r="O11" s="103" t="s">
        <v>59</v>
      </c>
      <c r="P11" s="103" t="s">
        <v>60</v>
      </c>
      <c r="Q11" s="103" t="s">
        <v>61</v>
      </c>
      <c r="R11" s="103" t="s">
        <v>62</v>
      </c>
      <c r="S11" s="103" t="s">
        <v>63</v>
      </c>
      <c r="T11" s="103" t="s">
        <v>64</v>
      </c>
      <c r="U11" s="107" t="s">
        <v>65</v>
      </c>
      <c r="V11" s="103">
        <v>1.38</v>
      </c>
      <c r="W11" s="107" t="s">
        <v>171</v>
      </c>
      <c r="X11" s="107" t="s">
        <v>66</v>
      </c>
    </row>
    <row r="12" spans="1:24" ht="100" customHeight="1">
      <c r="A12" s="103" t="s">
        <v>102</v>
      </c>
      <c r="B12" s="104">
        <v>46095</v>
      </c>
      <c r="C12" s="103"/>
      <c r="D12" s="103"/>
      <c r="E12" s="103" t="s">
        <v>51</v>
      </c>
      <c r="F12" s="103" t="s">
        <v>134</v>
      </c>
      <c r="G12" s="103" t="s">
        <v>53</v>
      </c>
      <c r="H12" s="103" t="s">
        <v>54</v>
      </c>
      <c r="I12" s="103" t="s">
        <v>53</v>
      </c>
      <c r="J12" s="103" t="s">
        <v>54</v>
      </c>
      <c r="K12" s="103" t="s">
        <v>55</v>
      </c>
      <c r="L12" s="103" t="s">
        <v>56</v>
      </c>
      <c r="M12" s="104" t="s">
        <v>101</v>
      </c>
      <c r="N12" s="103" t="s">
        <v>58</v>
      </c>
      <c r="O12" s="103" t="s">
        <v>59</v>
      </c>
      <c r="P12" s="103" t="s">
        <v>60</v>
      </c>
      <c r="Q12" s="103" t="s">
        <v>61</v>
      </c>
      <c r="R12" s="103" t="s">
        <v>62</v>
      </c>
      <c r="S12" s="103" t="s">
        <v>63</v>
      </c>
      <c r="T12" s="103" t="s">
        <v>64</v>
      </c>
      <c r="U12" s="107" t="s">
        <v>65</v>
      </c>
      <c r="V12" s="103">
        <v>1.38</v>
      </c>
      <c r="W12" s="107" t="s">
        <v>171</v>
      </c>
      <c r="X12" s="107" t="s">
        <v>66</v>
      </c>
    </row>
    <row r="13" spans="1:24" ht="100" customHeight="1">
      <c r="A13" s="103" t="s">
        <v>103</v>
      </c>
      <c r="B13" s="104">
        <v>46095</v>
      </c>
      <c r="C13" s="103"/>
      <c r="D13" s="103"/>
      <c r="E13" s="103" t="s">
        <v>51</v>
      </c>
      <c r="F13" s="103" t="s">
        <v>135</v>
      </c>
      <c r="G13" s="103" t="s">
        <v>53</v>
      </c>
      <c r="H13" s="103" t="s">
        <v>54</v>
      </c>
      <c r="I13" s="103" t="s">
        <v>53</v>
      </c>
      <c r="J13" s="103" t="s">
        <v>54</v>
      </c>
      <c r="K13" s="103" t="s">
        <v>55</v>
      </c>
      <c r="L13" s="103" t="s">
        <v>56</v>
      </c>
      <c r="M13" s="104" t="s">
        <v>104</v>
      </c>
      <c r="N13" s="103" t="s">
        <v>58</v>
      </c>
      <c r="O13" s="103" t="s">
        <v>59</v>
      </c>
      <c r="P13" s="103" t="s">
        <v>60</v>
      </c>
      <c r="Q13" s="103" t="s">
        <v>61</v>
      </c>
      <c r="R13" s="103" t="s">
        <v>62</v>
      </c>
      <c r="S13" s="103" t="s">
        <v>63</v>
      </c>
      <c r="T13" s="103" t="s">
        <v>64</v>
      </c>
      <c r="U13" s="107" t="s">
        <v>65</v>
      </c>
      <c r="V13" s="103">
        <v>1.38</v>
      </c>
      <c r="W13" s="107" t="s">
        <v>171</v>
      </c>
      <c r="X13" s="107" t="s">
        <v>66</v>
      </c>
    </row>
    <row r="14" spans="1:24" ht="100" customHeight="1">
      <c r="A14" s="103" t="s">
        <v>105</v>
      </c>
      <c r="B14" s="104">
        <v>46095</v>
      </c>
      <c r="C14" s="103"/>
      <c r="D14" s="103"/>
      <c r="E14" s="103" t="s">
        <v>51</v>
      </c>
      <c r="F14" s="103" t="s">
        <v>136</v>
      </c>
      <c r="G14" s="103" t="s">
        <v>53</v>
      </c>
      <c r="H14" s="103" t="s">
        <v>54</v>
      </c>
      <c r="I14" s="103" t="s">
        <v>53</v>
      </c>
      <c r="J14" s="103" t="s">
        <v>54</v>
      </c>
      <c r="K14" s="103" t="s">
        <v>55</v>
      </c>
      <c r="L14" s="103" t="s">
        <v>56</v>
      </c>
      <c r="M14" s="104" t="s">
        <v>104</v>
      </c>
      <c r="N14" s="103" t="s">
        <v>58</v>
      </c>
      <c r="O14" s="103" t="s">
        <v>59</v>
      </c>
      <c r="P14" s="103" t="s">
        <v>60</v>
      </c>
      <c r="Q14" s="103" t="s">
        <v>61</v>
      </c>
      <c r="R14" s="103" t="s">
        <v>62</v>
      </c>
      <c r="S14" s="103" t="s">
        <v>63</v>
      </c>
      <c r="T14" s="103" t="s">
        <v>64</v>
      </c>
      <c r="U14" s="107" t="s">
        <v>65</v>
      </c>
      <c r="V14" s="103">
        <v>1.38</v>
      </c>
      <c r="W14" s="107" t="s">
        <v>171</v>
      </c>
      <c r="X14" s="107" t="s">
        <v>66</v>
      </c>
    </row>
    <row r="15" spans="1:24" ht="100" customHeight="1">
      <c r="A15" s="103" t="s">
        <v>106</v>
      </c>
      <c r="B15" s="104">
        <v>46095</v>
      </c>
      <c r="C15" s="103"/>
      <c r="D15" s="103"/>
      <c r="E15" s="103" t="s">
        <v>51</v>
      </c>
      <c r="F15" s="103" t="s">
        <v>137</v>
      </c>
      <c r="G15" s="103" t="s">
        <v>53</v>
      </c>
      <c r="H15" s="103" t="s">
        <v>54</v>
      </c>
      <c r="I15" s="103" t="s">
        <v>53</v>
      </c>
      <c r="J15" s="103" t="s">
        <v>54</v>
      </c>
      <c r="K15" s="103" t="s">
        <v>55</v>
      </c>
      <c r="L15" s="103" t="s">
        <v>56</v>
      </c>
      <c r="M15" s="104" t="s">
        <v>107</v>
      </c>
      <c r="N15" s="103" t="s">
        <v>58</v>
      </c>
      <c r="O15" s="103" t="s">
        <v>59</v>
      </c>
      <c r="P15" s="103" t="s">
        <v>60</v>
      </c>
      <c r="Q15" s="103" t="s">
        <v>61</v>
      </c>
      <c r="R15" s="103" t="s">
        <v>62</v>
      </c>
      <c r="S15" s="103" t="s">
        <v>63</v>
      </c>
      <c r="T15" s="103" t="s">
        <v>64</v>
      </c>
      <c r="U15" s="107" t="s">
        <v>65</v>
      </c>
      <c r="V15" s="103">
        <v>1.38</v>
      </c>
      <c r="W15" s="107" t="s">
        <v>171</v>
      </c>
      <c r="X15" s="107" t="s">
        <v>66</v>
      </c>
    </row>
    <row r="16" spans="1:24" ht="100" customHeight="1">
      <c r="A16" s="103" t="s">
        <v>108</v>
      </c>
      <c r="B16" s="104">
        <v>46095</v>
      </c>
      <c r="C16" s="103"/>
      <c r="D16" s="103"/>
      <c r="E16" s="103" t="s">
        <v>51</v>
      </c>
      <c r="F16" s="103" t="s">
        <v>138</v>
      </c>
      <c r="G16" s="103" t="s">
        <v>53</v>
      </c>
      <c r="H16" s="103" t="s">
        <v>54</v>
      </c>
      <c r="I16" s="103" t="s">
        <v>53</v>
      </c>
      <c r="J16" s="103" t="s">
        <v>54</v>
      </c>
      <c r="K16" s="103" t="s">
        <v>55</v>
      </c>
      <c r="L16" s="103" t="s">
        <v>56</v>
      </c>
      <c r="M16" s="104" t="s">
        <v>107</v>
      </c>
      <c r="N16" s="103" t="s">
        <v>58</v>
      </c>
      <c r="O16" s="103" t="s">
        <v>59</v>
      </c>
      <c r="P16" s="103" t="s">
        <v>60</v>
      </c>
      <c r="Q16" s="103" t="s">
        <v>61</v>
      </c>
      <c r="R16" s="103" t="s">
        <v>62</v>
      </c>
      <c r="S16" s="103" t="s">
        <v>63</v>
      </c>
      <c r="T16" s="103" t="s">
        <v>64</v>
      </c>
      <c r="U16" s="107" t="s">
        <v>65</v>
      </c>
      <c r="V16" s="103">
        <v>1.38</v>
      </c>
      <c r="W16" s="107" t="s">
        <v>171</v>
      </c>
      <c r="X16" s="107" t="s">
        <v>66</v>
      </c>
    </row>
    <row r="17" spans="1:24" ht="100" customHeight="1">
      <c r="A17" s="103" t="s">
        <v>109</v>
      </c>
      <c r="B17" s="104">
        <v>46095</v>
      </c>
      <c r="C17" s="103"/>
      <c r="D17" s="103"/>
      <c r="E17" s="103" t="s">
        <v>51</v>
      </c>
      <c r="F17" s="103" t="s">
        <v>139</v>
      </c>
      <c r="G17" s="103" t="s">
        <v>53</v>
      </c>
      <c r="H17" s="103" t="s">
        <v>54</v>
      </c>
      <c r="I17" s="103" t="s">
        <v>53</v>
      </c>
      <c r="J17" s="103" t="s">
        <v>54</v>
      </c>
      <c r="K17" s="103" t="s">
        <v>55</v>
      </c>
      <c r="L17" s="103" t="s">
        <v>56</v>
      </c>
      <c r="M17" s="104" t="s">
        <v>110</v>
      </c>
      <c r="N17" s="103" t="s">
        <v>58</v>
      </c>
      <c r="O17" s="103" t="s">
        <v>59</v>
      </c>
      <c r="P17" s="103" t="s">
        <v>60</v>
      </c>
      <c r="Q17" s="103" t="s">
        <v>61</v>
      </c>
      <c r="R17" s="103" t="s">
        <v>62</v>
      </c>
      <c r="S17" s="103" t="s">
        <v>63</v>
      </c>
      <c r="T17" s="103" t="s">
        <v>64</v>
      </c>
      <c r="U17" s="107" t="s">
        <v>65</v>
      </c>
      <c r="V17" s="103">
        <v>1.38</v>
      </c>
      <c r="W17" s="107" t="s">
        <v>171</v>
      </c>
      <c r="X17" s="107" t="s">
        <v>66</v>
      </c>
    </row>
    <row r="18" spans="1:24" ht="100" customHeight="1">
      <c r="A18" s="103" t="s">
        <v>111</v>
      </c>
      <c r="B18" s="104">
        <v>46095</v>
      </c>
      <c r="C18" s="103"/>
      <c r="D18" s="103"/>
      <c r="E18" s="103" t="s">
        <v>51</v>
      </c>
      <c r="F18" s="103" t="s">
        <v>140</v>
      </c>
      <c r="G18" s="103" t="s">
        <v>53</v>
      </c>
      <c r="H18" s="103" t="s">
        <v>54</v>
      </c>
      <c r="I18" s="103" t="s">
        <v>53</v>
      </c>
      <c r="J18" s="103" t="s">
        <v>54</v>
      </c>
      <c r="K18" s="103" t="s">
        <v>55</v>
      </c>
      <c r="L18" s="103" t="s">
        <v>56</v>
      </c>
      <c r="M18" s="104" t="s">
        <v>110</v>
      </c>
      <c r="N18" s="103" t="s">
        <v>58</v>
      </c>
      <c r="O18" s="103" t="s">
        <v>59</v>
      </c>
      <c r="P18" s="103" t="s">
        <v>60</v>
      </c>
      <c r="Q18" s="103" t="s">
        <v>61</v>
      </c>
      <c r="R18" s="103" t="s">
        <v>62</v>
      </c>
      <c r="S18" s="103" t="s">
        <v>63</v>
      </c>
      <c r="T18" s="103" t="s">
        <v>64</v>
      </c>
      <c r="U18" s="107" t="s">
        <v>65</v>
      </c>
      <c r="V18" s="103">
        <v>1.38</v>
      </c>
      <c r="W18" s="107" t="s">
        <v>171</v>
      </c>
      <c r="X18" s="107" t="s">
        <v>66</v>
      </c>
    </row>
    <row r="19" spans="1:24" ht="100" customHeight="1">
      <c r="A19" s="103" t="s">
        <v>112</v>
      </c>
      <c r="B19" s="104">
        <v>46095</v>
      </c>
      <c r="C19" s="103"/>
      <c r="D19" s="103"/>
      <c r="E19" s="103" t="s">
        <v>51</v>
      </c>
      <c r="F19" s="103" t="s">
        <v>141</v>
      </c>
      <c r="G19" s="103" t="s">
        <v>53</v>
      </c>
      <c r="H19" s="103" t="s">
        <v>54</v>
      </c>
      <c r="I19" s="103" t="s">
        <v>53</v>
      </c>
      <c r="J19" s="103" t="s">
        <v>54</v>
      </c>
      <c r="K19" s="103" t="s">
        <v>55</v>
      </c>
      <c r="L19" s="103" t="s">
        <v>56</v>
      </c>
      <c r="M19" s="104" t="s">
        <v>113</v>
      </c>
      <c r="N19" s="103" t="s">
        <v>58</v>
      </c>
      <c r="O19" s="103" t="s">
        <v>59</v>
      </c>
      <c r="P19" s="103" t="s">
        <v>60</v>
      </c>
      <c r="Q19" s="103" t="s">
        <v>61</v>
      </c>
      <c r="R19" s="103" t="s">
        <v>62</v>
      </c>
      <c r="S19" s="103" t="s">
        <v>63</v>
      </c>
      <c r="T19" s="103" t="s">
        <v>64</v>
      </c>
      <c r="U19" s="107" t="s">
        <v>65</v>
      </c>
      <c r="V19" s="103">
        <v>1.38</v>
      </c>
      <c r="W19" s="107" t="s">
        <v>171</v>
      </c>
      <c r="X19" s="107" t="s">
        <v>66</v>
      </c>
    </row>
    <row r="20" spans="1:24" ht="100" customHeight="1">
      <c r="A20" s="103" t="s">
        <v>114</v>
      </c>
      <c r="B20" s="104">
        <v>46095</v>
      </c>
      <c r="C20" s="103"/>
      <c r="D20" s="103"/>
      <c r="E20" s="103" t="s">
        <v>51</v>
      </c>
      <c r="F20" s="103" t="s">
        <v>142</v>
      </c>
      <c r="G20" s="103" t="s">
        <v>53</v>
      </c>
      <c r="H20" s="103" t="s">
        <v>54</v>
      </c>
      <c r="I20" s="103" t="s">
        <v>53</v>
      </c>
      <c r="J20" s="103" t="s">
        <v>54</v>
      </c>
      <c r="K20" s="103" t="s">
        <v>55</v>
      </c>
      <c r="L20" s="103" t="s">
        <v>56</v>
      </c>
      <c r="M20" s="104" t="s">
        <v>113</v>
      </c>
      <c r="N20" s="103" t="s">
        <v>58</v>
      </c>
      <c r="O20" s="103" t="s">
        <v>59</v>
      </c>
      <c r="P20" s="103" t="s">
        <v>60</v>
      </c>
      <c r="Q20" s="103" t="s">
        <v>61</v>
      </c>
      <c r="R20" s="103" t="s">
        <v>62</v>
      </c>
      <c r="S20" s="103" t="s">
        <v>63</v>
      </c>
      <c r="T20" s="103" t="s">
        <v>64</v>
      </c>
      <c r="U20" s="107" t="s">
        <v>65</v>
      </c>
      <c r="V20" s="103">
        <v>1.38</v>
      </c>
      <c r="W20" s="107" t="s">
        <v>171</v>
      </c>
      <c r="X20" s="107" t="s">
        <v>66</v>
      </c>
    </row>
    <row r="21" spans="1:24" ht="100" customHeight="1">
      <c r="A21" s="103" t="s">
        <v>115</v>
      </c>
      <c r="B21" s="104">
        <v>46095</v>
      </c>
      <c r="C21" s="103"/>
      <c r="D21" s="103"/>
      <c r="E21" s="103" t="s">
        <v>51</v>
      </c>
      <c r="F21" s="103" t="s">
        <v>143</v>
      </c>
      <c r="G21" s="103" t="s">
        <v>53</v>
      </c>
      <c r="H21" s="103" t="s">
        <v>54</v>
      </c>
      <c r="I21" s="103" t="s">
        <v>53</v>
      </c>
      <c r="J21" s="103" t="s">
        <v>54</v>
      </c>
      <c r="K21" s="103" t="s">
        <v>55</v>
      </c>
      <c r="L21" s="103" t="s">
        <v>56</v>
      </c>
      <c r="M21" s="104" t="s">
        <v>116</v>
      </c>
      <c r="N21" s="103" t="s">
        <v>58</v>
      </c>
      <c r="O21" s="103" t="s">
        <v>59</v>
      </c>
      <c r="P21" s="103" t="s">
        <v>60</v>
      </c>
      <c r="Q21" s="103" t="s">
        <v>61</v>
      </c>
      <c r="R21" s="103" t="s">
        <v>62</v>
      </c>
      <c r="S21" s="103" t="s">
        <v>63</v>
      </c>
      <c r="T21" s="103" t="s">
        <v>64</v>
      </c>
      <c r="U21" s="107" t="s">
        <v>65</v>
      </c>
      <c r="V21" s="103">
        <v>1.38</v>
      </c>
      <c r="W21" s="107" t="s">
        <v>171</v>
      </c>
      <c r="X21" s="107" t="s">
        <v>66</v>
      </c>
    </row>
    <row r="22" spans="1:24" ht="100" customHeight="1">
      <c r="A22" s="103" t="s">
        <v>117</v>
      </c>
      <c r="B22" s="104">
        <v>46095</v>
      </c>
      <c r="C22" s="103"/>
      <c r="D22" s="103"/>
      <c r="E22" s="103" t="s">
        <v>51</v>
      </c>
      <c r="F22" s="103" t="s">
        <v>144</v>
      </c>
      <c r="G22" s="103" t="s">
        <v>53</v>
      </c>
      <c r="H22" s="103" t="s">
        <v>54</v>
      </c>
      <c r="I22" s="103" t="s">
        <v>53</v>
      </c>
      <c r="J22" s="103" t="s">
        <v>54</v>
      </c>
      <c r="K22" s="103" t="s">
        <v>55</v>
      </c>
      <c r="L22" s="103" t="s">
        <v>56</v>
      </c>
      <c r="M22" s="104" t="s">
        <v>116</v>
      </c>
      <c r="N22" s="103" t="s">
        <v>58</v>
      </c>
      <c r="O22" s="103" t="s">
        <v>59</v>
      </c>
      <c r="P22" s="103" t="s">
        <v>60</v>
      </c>
      <c r="Q22" s="103" t="s">
        <v>61</v>
      </c>
      <c r="R22" s="103" t="s">
        <v>62</v>
      </c>
      <c r="S22" s="103" t="s">
        <v>63</v>
      </c>
      <c r="T22" s="103" t="s">
        <v>64</v>
      </c>
      <c r="U22" s="107" t="s">
        <v>65</v>
      </c>
      <c r="V22" s="103">
        <v>1.38</v>
      </c>
      <c r="W22" s="107" t="s">
        <v>171</v>
      </c>
      <c r="X22" s="107" t="s">
        <v>66</v>
      </c>
    </row>
    <row r="23" spans="1:24" ht="100" customHeight="1">
      <c r="A23" s="103" t="s">
        <v>118</v>
      </c>
      <c r="B23" s="104">
        <v>46098</v>
      </c>
      <c r="C23" s="103"/>
      <c r="D23" s="103"/>
      <c r="E23" s="103" t="s">
        <v>51</v>
      </c>
      <c r="F23" s="103" t="s">
        <v>144</v>
      </c>
      <c r="G23" s="103" t="s">
        <v>53</v>
      </c>
      <c r="H23" s="103" t="s">
        <v>54</v>
      </c>
      <c r="I23" s="103" t="s">
        <v>53</v>
      </c>
      <c r="J23" s="103" t="s">
        <v>54</v>
      </c>
      <c r="K23" s="103" t="s">
        <v>55</v>
      </c>
      <c r="L23" s="103" t="s">
        <v>145</v>
      </c>
      <c r="M23" s="104" t="s">
        <v>119</v>
      </c>
      <c r="N23" s="103" t="s">
        <v>58</v>
      </c>
      <c r="O23" s="103" t="s">
        <v>59</v>
      </c>
      <c r="P23" s="103" t="s">
        <v>146</v>
      </c>
      <c r="Q23" s="103" t="s">
        <v>61</v>
      </c>
      <c r="R23" s="103" t="s">
        <v>62</v>
      </c>
      <c r="S23" s="103" t="s">
        <v>120</v>
      </c>
      <c r="T23" s="103">
        <v>1315</v>
      </c>
      <c r="U23" s="107">
        <v>10</v>
      </c>
      <c r="V23" s="103">
        <v>1.51</v>
      </c>
      <c r="W23" s="107" t="s">
        <v>171</v>
      </c>
      <c r="X23" s="103" t="s">
        <v>66</v>
      </c>
    </row>
    <row r="24" spans="1:24" ht="100" customHeight="1">
      <c r="A24" s="103" t="s">
        <v>118</v>
      </c>
      <c r="B24" s="104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4"/>
      <c r="N24" s="103"/>
      <c r="O24" s="103"/>
      <c r="P24" s="103"/>
      <c r="Q24" s="103"/>
      <c r="R24" s="103" t="s">
        <v>62</v>
      </c>
      <c r="S24" s="103" t="s">
        <v>121</v>
      </c>
      <c r="T24" s="103">
        <v>657</v>
      </c>
      <c r="U24" s="107">
        <v>10</v>
      </c>
      <c r="V24" s="103">
        <v>1.56</v>
      </c>
      <c r="W24" s="103"/>
      <c r="X24" s="103"/>
    </row>
    <row r="25" spans="1:24" ht="100" customHeight="1">
      <c r="A25" s="103" t="s">
        <v>118</v>
      </c>
      <c r="B25" s="104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4"/>
      <c r="N25" s="103"/>
      <c r="O25" s="103"/>
      <c r="P25" s="103"/>
      <c r="Q25" s="103"/>
      <c r="R25" s="103" t="s">
        <v>62</v>
      </c>
      <c r="S25" s="103" t="s">
        <v>122</v>
      </c>
      <c r="T25" s="103">
        <v>657</v>
      </c>
      <c r="U25" s="107">
        <v>10</v>
      </c>
      <c r="V25" s="103">
        <v>1.56</v>
      </c>
      <c r="W25" s="103"/>
      <c r="X25" s="103"/>
    </row>
    <row r="26" spans="1:24" ht="100" customHeight="1">
      <c r="A26" s="103" t="s">
        <v>123</v>
      </c>
      <c r="B26" s="104">
        <v>46098</v>
      </c>
      <c r="C26" s="103"/>
      <c r="D26" s="103"/>
      <c r="E26" s="103" t="s">
        <v>51</v>
      </c>
      <c r="F26" s="103" t="s">
        <v>144</v>
      </c>
      <c r="G26" s="103" t="s">
        <v>53</v>
      </c>
      <c r="H26" s="103" t="s">
        <v>54</v>
      </c>
      <c r="I26" s="103" t="s">
        <v>53</v>
      </c>
      <c r="J26" s="103" t="s">
        <v>54</v>
      </c>
      <c r="K26" s="103" t="s">
        <v>55</v>
      </c>
      <c r="L26" s="103" t="s">
        <v>145</v>
      </c>
      <c r="M26" s="104" t="s">
        <v>119</v>
      </c>
      <c r="N26" s="103" t="s">
        <v>58</v>
      </c>
      <c r="O26" s="103" t="s">
        <v>59</v>
      </c>
      <c r="P26" s="103" t="s">
        <v>146</v>
      </c>
      <c r="Q26" s="103" t="s">
        <v>61</v>
      </c>
      <c r="R26" s="103" t="s">
        <v>62</v>
      </c>
      <c r="S26" s="103" t="s">
        <v>120</v>
      </c>
      <c r="T26" s="103">
        <v>1315</v>
      </c>
      <c r="U26" s="107">
        <v>10</v>
      </c>
      <c r="V26" s="103">
        <v>1.51</v>
      </c>
      <c r="W26" s="107" t="s">
        <v>171</v>
      </c>
      <c r="X26" s="103" t="s">
        <v>66</v>
      </c>
    </row>
    <row r="27" spans="1:24" ht="100" customHeight="1">
      <c r="A27" s="103" t="s">
        <v>123</v>
      </c>
      <c r="B27" s="104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4"/>
      <c r="N27" s="103"/>
      <c r="O27" s="103"/>
      <c r="P27" s="103"/>
      <c r="Q27" s="103"/>
      <c r="R27" s="103" t="s">
        <v>62</v>
      </c>
      <c r="S27" s="103" t="s">
        <v>121</v>
      </c>
      <c r="T27" s="103">
        <v>657</v>
      </c>
      <c r="U27" s="107">
        <v>10</v>
      </c>
      <c r="V27" s="103">
        <v>1.56</v>
      </c>
      <c r="W27" s="103"/>
      <c r="X27" s="103"/>
    </row>
    <row r="28" spans="1:24" ht="100" customHeight="1">
      <c r="A28" s="103" t="s">
        <v>123</v>
      </c>
      <c r="B28" s="104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4"/>
      <c r="N28" s="103"/>
      <c r="O28" s="103"/>
      <c r="P28" s="103"/>
      <c r="Q28" s="103"/>
      <c r="R28" s="103" t="s">
        <v>62</v>
      </c>
      <c r="S28" s="103" t="s">
        <v>122</v>
      </c>
      <c r="T28" s="103">
        <v>657</v>
      </c>
      <c r="U28" s="107">
        <v>10</v>
      </c>
      <c r="V28" s="103">
        <v>1.56</v>
      </c>
      <c r="W28" s="103"/>
      <c r="X28" s="103"/>
    </row>
    <row r="29" spans="1:24" ht="100" customHeight="1">
      <c r="A29" s="103" t="s">
        <v>124</v>
      </c>
      <c r="B29" s="104">
        <v>46098</v>
      </c>
      <c r="C29" s="103"/>
      <c r="D29" s="103"/>
      <c r="E29" s="103" t="s">
        <v>51</v>
      </c>
      <c r="F29" s="103" t="s">
        <v>144</v>
      </c>
      <c r="G29" s="103" t="s">
        <v>53</v>
      </c>
      <c r="H29" s="103" t="s">
        <v>54</v>
      </c>
      <c r="I29" s="103" t="s">
        <v>53</v>
      </c>
      <c r="J29" s="103" t="s">
        <v>54</v>
      </c>
      <c r="K29" s="103" t="s">
        <v>55</v>
      </c>
      <c r="L29" s="103" t="s">
        <v>145</v>
      </c>
      <c r="M29" s="104" t="s">
        <v>95</v>
      </c>
      <c r="N29" s="103" t="s">
        <v>58</v>
      </c>
      <c r="O29" s="103" t="s">
        <v>59</v>
      </c>
      <c r="P29" s="103" t="s">
        <v>146</v>
      </c>
      <c r="Q29" s="103" t="s">
        <v>61</v>
      </c>
      <c r="R29" s="103" t="s">
        <v>62</v>
      </c>
      <c r="S29" s="103" t="s">
        <v>120</v>
      </c>
      <c r="T29" s="103">
        <v>1315</v>
      </c>
      <c r="U29" s="107">
        <v>10</v>
      </c>
      <c r="V29" s="103">
        <v>1.51</v>
      </c>
      <c r="W29" s="107" t="s">
        <v>171</v>
      </c>
      <c r="X29" s="103" t="s">
        <v>66</v>
      </c>
    </row>
    <row r="30" spans="1:24" ht="100" customHeight="1">
      <c r="A30" s="103" t="s">
        <v>124</v>
      </c>
      <c r="B30" s="104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4"/>
      <c r="N30" s="103"/>
      <c r="O30" s="103"/>
      <c r="P30" s="103"/>
      <c r="Q30" s="103"/>
      <c r="R30" s="103" t="s">
        <v>62</v>
      </c>
      <c r="S30" s="103" t="s">
        <v>121</v>
      </c>
      <c r="T30" s="103">
        <v>657</v>
      </c>
      <c r="U30" s="107">
        <v>10</v>
      </c>
      <c r="V30" s="103">
        <v>1.56</v>
      </c>
      <c r="W30" s="103"/>
      <c r="X30" s="103"/>
    </row>
    <row r="31" spans="1:24" ht="100" customHeight="1">
      <c r="A31" s="103" t="s">
        <v>124</v>
      </c>
      <c r="B31" s="104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4"/>
      <c r="N31" s="103"/>
      <c r="O31" s="103"/>
      <c r="P31" s="103"/>
      <c r="Q31" s="103"/>
      <c r="R31" s="103" t="s">
        <v>62</v>
      </c>
      <c r="S31" s="103" t="s">
        <v>122</v>
      </c>
      <c r="T31" s="103">
        <v>657</v>
      </c>
      <c r="U31" s="107">
        <v>10</v>
      </c>
      <c r="V31" s="103">
        <v>1.56</v>
      </c>
      <c r="W31" s="103"/>
      <c r="X31" s="103"/>
    </row>
    <row r="32" spans="1:24" ht="100" customHeight="1">
      <c r="A32" s="103" t="s">
        <v>125</v>
      </c>
      <c r="B32" s="104">
        <v>46098</v>
      </c>
      <c r="C32" s="103"/>
      <c r="D32" s="103"/>
      <c r="E32" s="103" t="s">
        <v>51</v>
      </c>
      <c r="F32" s="103" t="s">
        <v>144</v>
      </c>
      <c r="G32" s="103" t="s">
        <v>53</v>
      </c>
      <c r="H32" s="103" t="s">
        <v>54</v>
      </c>
      <c r="I32" s="103" t="s">
        <v>53</v>
      </c>
      <c r="J32" s="103" t="s">
        <v>54</v>
      </c>
      <c r="K32" s="103" t="s">
        <v>55</v>
      </c>
      <c r="L32" s="103" t="s">
        <v>145</v>
      </c>
      <c r="M32" s="104" t="s">
        <v>95</v>
      </c>
      <c r="N32" s="103" t="s">
        <v>58</v>
      </c>
      <c r="O32" s="103" t="s">
        <v>59</v>
      </c>
      <c r="P32" s="103" t="s">
        <v>146</v>
      </c>
      <c r="Q32" s="103" t="s">
        <v>61</v>
      </c>
      <c r="R32" s="103" t="s">
        <v>62</v>
      </c>
      <c r="S32" s="103" t="s">
        <v>120</v>
      </c>
      <c r="T32" s="103">
        <v>1315</v>
      </c>
      <c r="U32" s="107">
        <v>10</v>
      </c>
      <c r="V32" s="103">
        <v>1.51</v>
      </c>
      <c r="W32" s="107" t="s">
        <v>171</v>
      </c>
      <c r="X32" s="103" t="s">
        <v>66</v>
      </c>
    </row>
    <row r="33" spans="1:24" ht="100" customHeight="1">
      <c r="A33" s="103" t="s">
        <v>125</v>
      </c>
      <c r="B33" s="104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  <c r="N33" s="103"/>
      <c r="O33" s="103"/>
      <c r="P33" s="103"/>
      <c r="Q33" s="103"/>
      <c r="R33" s="103" t="s">
        <v>62</v>
      </c>
      <c r="S33" s="103" t="s">
        <v>121</v>
      </c>
      <c r="T33" s="103">
        <v>657</v>
      </c>
      <c r="U33" s="107">
        <v>10</v>
      </c>
      <c r="V33" s="103">
        <v>1.56</v>
      </c>
      <c r="W33" s="103"/>
      <c r="X33" s="103"/>
    </row>
    <row r="34" spans="1:24" ht="100" customHeight="1">
      <c r="A34" s="103" t="s">
        <v>125</v>
      </c>
      <c r="B34" s="104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  <c r="N34" s="103"/>
      <c r="O34" s="103"/>
      <c r="P34" s="103"/>
      <c r="Q34" s="103"/>
      <c r="R34" s="103" t="s">
        <v>62</v>
      </c>
      <c r="S34" s="103" t="s">
        <v>122</v>
      </c>
      <c r="T34" s="103">
        <v>657</v>
      </c>
      <c r="U34" s="107">
        <v>10</v>
      </c>
      <c r="V34" s="103">
        <v>1.56</v>
      </c>
      <c r="W34" s="103"/>
      <c r="X34" s="103"/>
    </row>
    <row r="35" spans="1:24" ht="100" customHeight="1">
      <c r="A35" s="103" t="s">
        <v>147</v>
      </c>
      <c r="B35" s="104">
        <v>46098</v>
      </c>
      <c r="C35" s="103"/>
      <c r="D35" s="103"/>
      <c r="E35" s="103" t="s">
        <v>51</v>
      </c>
      <c r="F35" s="103" t="s">
        <v>144</v>
      </c>
      <c r="G35" s="103" t="s">
        <v>53</v>
      </c>
      <c r="H35" s="103" t="s">
        <v>54</v>
      </c>
      <c r="I35" s="103" t="s">
        <v>53</v>
      </c>
      <c r="J35" s="103" t="s">
        <v>54</v>
      </c>
      <c r="K35" s="103" t="s">
        <v>55</v>
      </c>
      <c r="L35" s="103" t="s">
        <v>145</v>
      </c>
      <c r="M35" s="104" t="s">
        <v>151</v>
      </c>
      <c r="N35" s="103" t="s">
        <v>58</v>
      </c>
      <c r="O35" s="103" t="s">
        <v>148</v>
      </c>
      <c r="P35" s="103" t="s">
        <v>146</v>
      </c>
      <c r="Q35" s="103" t="s">
        <v>61</v>
      </c>
      <c r="R35" s="103" t="s">
        <v>62</v>
      </c>
      <c r="S35" s="103" t="s">
        <v>149</v>
      </c>
      <c r="T35" s="103">
        <v>1370</v>
      </c>
      <c r="U35" s="107">
        <v>20</v>
      </c>
      <c r="V35" s="103">
        <v>1.45</v>
      </c>
      <c r="W35" s="107" t="s">
        <v>171</v>
      </c>
      <c r="X35" s="103" t="s">
        <v>66</v>
      </c>
    </row>
    <row r="36" spans="1:24" ht="100" customHeight="1">
      <c r="A36" s="103" t="s">
        <v>150</v>
      </c>
      <c r="B36" s="104">
        <v>46098</v>
      </c>
      <c r="C36" s="103"/>
      <c r="D36" s="103"/>
      <c r="E36" s="103" t="s">
        <v>51</v>
      </c>
      <c r="F36" s="103" t="s">
        <v>144</v>
      </c>
      <c r="G36" s="103" t="s">
        <v>53</v>
      </c>
      <c r="H36" s="103" t="s">
        <v>54</v>
      </c>
      <c r="I36" s="103" t="s">
        <v>53</v>
      </c>
      <c r="J36" s="103" t="s">
        <v>54</v>
      </c>
      <c r="K36" s="103" t="s">
        <v>55</v>
      </c>
      <c r="L36" s="103" t="s">
        <v>145</v>
      </c>
      <c r="M36" s="104" t="s">
        <v>151</v>
      </c>
      <c r="N36" s="103" t="s">
        <v>58</v>
      </c>
      <c r="O36" s="103" t="s">
        <v>148</v>
      </c>
      <c r="P36" s="103" t="s">
        <v>146</v>
      </c>
      <c r="Q36" s="103" t="s">
        <v>61</v>
      </c>
      <c r="R36" s="103" t="s">
        <v>62</v>
      </c>
      <c r="S36" s="103" t="s">
        <v>149</v>
      </c>
      <c r="T36" s="103">
        <v>1370</v>
      </c>
      <c r="U36" s="107">
        <v>20</v>
      </c>
      <c r="V36" s="103">
        <v>1.45</v>
      </c>
      <c r="W36" s="107" t="s">
        <v>171</v>
      </c>
      <c r="X36" s="103" t="s">
        <v>66</v>
      </c>
    </row>
  </sheetData>
  <phoneticPr fontId="2" type="noConversion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6"/>
  <sheetViews>
    <sheetView zoomScaleNormal="100" workbookViewId="0">
      <selection activeCell="B29" sqref="B29:I31"/>
    </sheetView>
  </sheetViews>
  <sheetFormatPr baseColWidth="10" defaultColWidth="9.1640625" defaultRowHeight="13"/>
  <cols>
    <col min="1" max="1" width="5.5" style="1" customWidth="1"/>
    <col min="2" max="9" width="15.83203125" style="3" customWidth="1"/>
    <col min="10" max="10" width="5.5" style="3" customWidth="1"/>
    <col min="11" max="13" width="9.1640625" style="3" customWidth="1"/>
    <col min="14" max="16384" width="9.1640625" style="3"/>
  </cols>
  <sheetData>
    <row r="1" spans="1:9" ht="15" customHeight="1">
      <c r="B1" s="2"/>
      <c r="C1" s="2"/>
      <c r="D1" s="2"/>
      <c r="E1" s="2"/>
      <c r="F1" s="2"/>
      <c r="G1" s="2"/>
      <c r="H1" s="2"/>
      <c r="I1" s="2"/>
    </row>
    <row r="2" spans="1:9" s="5" customFormat="1" ht="46" customHeight="1">
      <c r="A2" s="4"/>
      <c r="B2" s="110" t="s">
        <v>67</v>
      </c>
      <c r="C2" s="111"/>
      <c r="D2" s="111"/>
      <c r="E2" s="111"/>
      <c r="F2" s="111"/>
      <c r="G2" s="111"/>
      <c r="H2" s="111"/>
      <c r="I2" s="111"/>
    </row>
    <row r="3" spans="1:9" s="5" customFormat="1" ht="15" customHeight="1">
      <c r="A3" s="4"/>
      <c r="B3" s="122" t="s">
        <v>68</v>
      </c>
      <c r="C3" s="111"/>
      <c r="D3" s="111"/>
      <c r="E3" s="111"/>
      <c r="F3" s="111"/>
      <c r="G3" s="111"/>
      <c r="H3" s="111"/>
      <c r="I3" s="111"/>
    </row>
    <row r="4" spans="1:9" s="5" customFormat="1" ht="31" customHeight="1">
      <c r="A4" s="4"/>
      <c r="B4" s="121" t="s">
        <v>69</v>
      </c>
      <c r="C4" s="111"/>
      <c r="D4" s="111"/>
      <c r="E4" s="111"/>
      <c r="F4" s="111"/>
      <c r="G4" s="111"/>
      <c r="H4" s="111"/>
      <c r="I4" s="111"/>
    </row>
    <row r="5" spans="1:9" ht="10" customHeight="1">
      <c r="B5" s="6"/>
      <c r="C5" s="7"/>
      <c r="D5" s="7"/>
      <c r="E5" s="8"/>
      <c r="F5" s="70"/>
      <c r="G5" s="70"/>
      <c r="H5" s="71"/>
      <c r="I5" s="72"/>
    </row>
    <row r="6" spans="1:9" s="16" customFormat="1" ht="30" customHeight="1">
      <c r="A6" s="11"/>
      <c r="B6" s="68" t="s">
        <v>70</v>
      </c>
      <c r="C6" s="12"/>
      <c r="D6" s="12"/>
      <c r="E6" s="13"/>
      <c r="F6" s="73"/>
      <c r="G6" s="74"/>
      <c r="H6" s="75"/>
      <c r="I6" s="76" t="s">
        <v>71</v>
      </c>
    </row>
    <row r="7" spans="1:9" s="16" customFormat="1" ht="20" customHeight="1">
      <c r="A7" s="11"/>
      <c r="B7" s="29" t="s">
        <v>51</v>
      </c>
      <c r="C7" s="64"/>
      <c r="D7" s="64"/>
      <c r="E7" s="65"/>
      <c r="F7" s="77" t="s">
        <v>0</v>
      </c>
      <c r="G7" s="78"/>
      <c r="H7" s="77" t="s">
        <v>1</v>
      </c>
      <c r="I7" s="78"/>
    </row>
    <row r="8" spans="1:9" s="16" customFormat="1" ht="20" customHeight="1">
      <c r="A8" s="11"/>
      <c r="B8" s="135" t="s">
        <v>52</v>
      </c>
      <c r="C8" s="136"/>
      <c r="D8" s="136"/>
      <c r="E8" s="136"/>
      <c r="F8" s="131" t="s">
        <v>48</v>
      </c>
      <c r="G8" s="120"/>
      <c r="H8" s="80">
        <v>46095</v>
      </c>
      <c r="I8" s="66"/>
    </row>
    <row r="9" spans="1:9" s="16" customFormat="1" ht="20" customHeight="1">
      <c r="A9" s="11"/>
      <c r="B9" s="116"/>
      <c r="C9" s="136"/>
      <c r="D9" s="136"/>
      <c r="E9" s="136"/>
      <c r="F9" s="77" t="s">
        <v>2</v>
      </c>
      <c r="G9" s="81"/>
      <c r="H9" s="77" t="s">
        <v>3</v>
      </c>
      <c r="I9" s="82"/>
    </row>
    <row r="10" spans="1:9" s="18" customFormat="1" ht="20" customHeight="1">
      <c r="A10" s="17"/>
      <c r="B10" s="119"/>
      <c r="C10" s="128"/>
      <c r="D10" s="128"/>
      <c r="E10" s="128"/>
      <c r="F10" s="79"/>
      <c r="G10" s="67"/>
      <c r="H10" s="33"/>
      <c r="I10" s="69"/>
    </row>
    <row r="11" spans="1:9" s="20" customFormat="1" ht="5" customHeight="1">
      <c r="A11" s="17"/>
      <c r="B11" s="19"/>
      <c r="C11" s="9"/>
      <c r="D11" s="9"/>
      <c r="E11" s="9"/>
      <c r="F11" s="19"/>
      <c r="G11" s="9"/>
      <c r="H11" s="9"/>
      <c r="I11" s="10"/>
    </row>
    <row r="12" spans="1:9" s="20" customFormat="1" ht="30" customHeight="1">
      <c r="A12" s="21"/>
      <c r="B12" s="68" t="s">
        <v>72</v>
      </c>
      <c r="C12" s="14"/>
      <c r="D12" s="14"/>
      <c r="E12" s="14"/>
      <c r="F12" s="68" t="s">
        <v>73</v>
      </c>
      <c r="G12" s="14"/>
      <c r="H12" s="14"/>
      <c r="I12" s="15"/>
    </row>
    <row r="13" spans="1:9" s="20" customFormat="1" ht="18" customHeight="1">
      <c r="A13" s="21"/>
      <c r="B13" s="29" t="s">
        <v>49</v>
      </c>
      <c r="C13" s="22"/>
      <c r="D13" s="22"/>
      <c r="E13" s="22"/>
      <c r="F13" s="29" t="s">
        <v>53</v>
      </c>
      <c r="G13" s="22"/>
      <c r="H13" s="22"/>
      <c r="I13" s="23"/>
    </row>
    <row r="14" spans="1:9" s="20" customFormat="1" ht="18" customHeight="1">
      <c r="A14" s="21"/>
      <c r="B14" s="126" t="s">
        <v>74</v>
      </c>
      <c r="C14" s="109"/>
      <c r="D14" s="109"/>
      <c r="E14" s="127"/>
      <c r="F14" s="139" t="s">
        <v>54</v>
      </c>
      <c r="G14" s="109"/>
      <c r="H14" s="109"/>
      <c r="I14" s="127"/>
    </row>
    <row r="15" spans="1:9" s="20" customFormat="1" ht="36" customHeight="1">
      <c r="A15" s="21"/>
      <c r="B15" s="119"/>
      <c r="C15" s="128"/>
      <c r="D15" s="128"/>
      <c r="E15" s="120"/>
      <c r="F15" s="116"/>
      <c r="G15" s="109"/>
      <c r="H15" s="109"/>
      <c r="I15" s="127"/>
    </row>
    <row r="16" spans="1:9" s="20" customFormat="1" ht="20" customHeight="1">
      <c r="A16" s="21"/>
      <c r="B16" s="24" t="s">
        <v>10</v>
      </c>
      <c r="C16" s="83"/>
      <c r="D16" s="24" t="s">
        <v>11</v>
      </c>
      <c r="E16" s="84"/>
      <c r="F16" s="24" t="s">
        <v>75</v>
      </c>
      <c r="G16" s="85"/>
      <c r="H16" s="86"/>
      <c r="I16" s="87"/>
    </row>
    <row r="17" spans="1:11" s="20" customFormat="1" ht="20" customHeight="1">
      <c r="A17" s="21"/>
      <c r="B17" s="88" t="s">
        <v>55</v>
      </c>
      <c r="C17" s="89"/>
      <c r="D17" s="88" t="s">
        <v>56</v>
      </c>
      <c r="E17" s="90"/>
      <c r="F17" s="91" t="s">
        <v>76</v>
      </c>
      <c r="G17" s="92"/>
      <c r="H17" s="93"/>
      <c r="I17" s="36"/>
    </row>
    <row r="18" spans="1:11" s="20" customFormat="1" ht="20" customHeight="1">
      <c r="A18" s="21"/>
      <c r="B18" s="24" t="s">
        <v>12</v>
      </c>
      <c r="C18" s="83"/>
      <c r="D18" s="24" t="s">
        <v>77</v>
      </c>
      <c r="E18" s="84"/>
      <c r="F18" s="94"/>
      <c r="G18" s="93"/>
      <c r="H18" s="93"/>
      <c r="I18" s="36"/>
    </row>
    <row r="19" spans="1:11" s="20" customFormat="1" ht="20" customHeight="1">
      <c r="A19" s="21"/>
      <c r="B19" s="95" t="s">
        <v>57</v>
      </c>
      <c r="C19" s="89"/>
      <c r="D19" s="96" t="s">
        <v>58</v>
      </c>
      <c r="E19" s="90"/>
      <c r="F19" s="97"/>
      <c r="G19" s="98"/>
      <c r="H19" s="98"/>
      <c r="I19" s="99"/>
    </row>
    <row r="20" spans="1:11" s="26" customFormat="1" ht="20" customHeight="1">
      <c r="A20" s="25"/>
      <c r="B20" s="114" t="s">
        <v>78</v>
      </c>
      <c r="C20" s="115"/>
      <c r="D20" s="117" t="s">
        <v>18</v>
      </c>
      <c r="E20" s="118"/>
      <c r="F20" s="112" t="s">
        <v>79</v>
      </c>
      <c r="G20" s="113"/>
      <c r="H20" s="133" t="s">
        <v>80</v>
      </c>
      <c r="I20" s="133" t="s">
        <v>81</v>
      </c>
    </row>
    <row r="21" spans="1:11" s="20" customFormat="1" ht="20" customHeight="1">
      <c r="A21" s="21"/>
      <c r="B21" s="116"/>
      <c r="C21" s="109"/>
      <c r="D21" s="119"/>
      <c r="E21" s="120"/>
      <c r="F21" s="37" t="s">
        <v>19</v>
      </c>
      <c r="G21" s="38" t="s">
        <v>82</v>
      </c>
      <c r="H21" s="134"/>
      <c r="I21" s="134"/>
    </row>
    <row r="22" spans="1:11" s="20" customFormat="1" ht="84" customHeight="1">
      <c r="A22" s="21"/>
      <c r="B22" s="123" t="s">
        <v>83</v>
      </c>
      <c r="C22" s="124"/>
      <c r="D22" s="125" t="s">
        <v>84</v>
      </c>
      <c r="E22" s="124"/>
      <c r="F22" s="39">
        <v>1370</v>
      </c>
      <c r="G22" s="40">
        <f>F22*20</f>
        <v>27400</v>
      </c>
      <c r="H22" s="41">
        <v>1.45</v>
      </c>
      <c r="I22" s="41">
        <f>G22*H22</f>
        <v>39730</v>
      </c>
    </row>
    <row r="23" spans="1:11" s="20" customFormat="1" ht="25" customHeight="1">
      <c r="A23" s="21"/>
      <c r="B23" s="137"/>
      <c r="C23" s="138"/>
      <c r="D23" s="138"/>
      <c r="E23" s="138"/>
      <c r="F23" s="100"/>
      <c r="G23" s="100"/>
      <c r="H23" s="100"/>
      <c r="I23" s="101"/>
    </row>
    <row r="24" spans="1:11" s="20" customFormat="1" ht="35" customHeight="1">
      <c r="A24" s="21"/>
      <c r="B24" s="102" t="s">
        <v>23</v>
      </c>
      <c r="C24" s="35"/>
      <c r="D24" s="35"/>
      <c r="E24" s="42"/>
      <c r="F24" s="129" t="s">
        <v>85</v>
      </c>
      <c r="G24" s="120"/>
      <c r="H24" s="140">
        <f>SUM(I22:I23)</f>
        <v>39730</v>
      </c>
      <c r="I24" s="127"/>
      <c r="J24" s="108"/>
      <c r="K24" s="109"/>
    </row>
    <row r="25" spans="1:11" s="20" customFormat="1" ht="33" customHeight="1">
      <c r="A25" s="21"/>
      <c r="B25" s="141" t="s">
        <v>86</v>
      </c>
      <c r="C25" s="109"/>
      <c r="D25" s="109"/>
      <c r="E25" s="127"/>
      <c r="F25" s="143" t="s">
        <v>15</v>
      </c>
      <c r="G25" s="118"/>
      <c r="H25" s="143" t="s">
        <v>16</v>
      </c>
      <c r="I25" s="118"/>
    </row>
    <row r="26" spans="1:11" s="28" customFormat="1" ht="33" customHeight="1">
      <c r="A26" s="27"/>
      <c r="B26" s="116"/>
      <c r="C26" s="142"/>
      <c r="D26" s="142"/>
      <c r="E26" s="127"/>
      <c r="F26" s="130" t="s">
        <v>60</v>
      </c>
      <c r="G26" s="127"/>
      <c r="H26" s="130" t="s">
        <v>61</v>
      </c>
      <c r="I26" s="127"/>
    </row>
    <row r="27" spans="1:11" s="20" customFormat="1" ht="7" customHeight="1">
      <c r="A27" s="21"/>
      <c r="B27" s="34"/>
      <c r="C27" s="31"/>
      <c r="D27" s="31"/>
      <c r="E27" s="31"/>
      <c r="F27" s="43"/>
      <c r="G27" s="43"/>
      <c r="H27" s="43"/>
      <c r="I27" s="44"/>
    </row>
    <row r="28" spans="1:11" s="20" customFormat="1" ht="27" customHeight="1">
      <c r="A28" s="21"/>
      <c r="B28" s="68" t="s">
        <v>22</v>
      </c>
      <c r="C28" s="32"/>
      <c r="D28" s="32"/>
      <c r="E28" s="32"/>
      <c r="F28" s="45"/>
      <c r="G28" s="46"/>
      <c r="H28" s="45"/>
      <c r="I28" s="47"/>
    </row>
    <row r="29" spans="1:11" s="20" customFormat="1" ht="25" customHeight="1">
      <c r="A29" s="21"/>
      <c r="B29" s="132" t="s">
        <v>87</v>
      </c>
      <c r="C29" s="109"/>
      <c r="D29" s="109"/>
      <c r="E29" s="109"/>
      <c r="F29" s="109"/>
      <c r="G29" s="109"/>
      <c r="H29" s="109"/>
      <c r="I29" s="127"/>
    </row>
    <row r="30" spans="1:11" s="20" customFormat="1" ht="25" customHeight="1">
      <c r="A30" s="21"/>
      <c r="B30" s="116"/>
      <c r="C30" s="109"/>
      <c r="D30" s="109"/>
      <c r="E30" s="109"/>
      <c r="F30" s="109"/>
      <c r="G30" s="109"/>
      <c r="H30" s="109"/>
      <c r="I30" s="127"/>
    </row>
    <row r="31" spans="1:11" s="20" customFormat="1" ht="25" customHeight="1">
      <c r="A31" s="21"/>
      <c r="B31" s="119"/>
      <c r="C31" s="128"/>
      <c r="D31" s="128"/>
      <c r="E31" s="128"/>
      <c r="F31" s="128"/>
      <c r="G31" s="128"/>
      <c r="H31" s="128"/>
      <c r="I31" s="120"/>
    </row>
    <row r="32" spans="1:11" s="20" customFormat="1" ht="20" customHeight="1">
      <c r="A32" s="21"/>
      <c r="B32" s="48"/>
      <c r="C32" s="49"/>
      <c r="D32" s="50"/>
      <c r="E32" s="36"/>
      <c r="F32" s="48"/>
      <c r="G32" s="49"/>
      <c r="H32" s="50"/>
      <c r="I32" s="36"/>
    </row>
    <row r="33" spans="1:9" ht="35" customHeight="1">
      <c r="B33" s="51" t="s">
        <v>70</v>
      </c>
      <c r="C33" s="46"/>
      <c r="D33" s="52"/>
      <c r="E33" s="53"/>
      <c r="F33" s="51" t="s">
        <v>72</v>
      </c>
      <c r="G33" s="46"/>
      <c r="H33" s="52"/>
      <c r="I33" s="53"/>
    </row>
    <row r="34" spans="1:9" s="18" customFormat="1" ht="50" customHeight="1">
      <c r="A34" s="17"/>
      <c r="B34" s="54"/>
      <c r="C34" s="46"/>
      <c r="D34" s="55"/>
      <c r="E34" s="56"/>
      <c r="F34" s="54"/>
      <c r="G34" s="46"/>
      <c r="H34" s="55"/>
      <c r="I34" s="56"/>
    </row>
    <row r="35" spans="1:9" ht="35" customHeight="1">
      <c r="A35" s="17"/>
      <c r="B35" s="57"/>
      <c r="C35" s="46"/>
      <c r="D35" s="58"/>
      <c r="E35" s="59"/>
      <c r="F35" s="57"/>
      <c r="G35" s="46"/>
      <c r="H35" s="58"/>
      <c r="I35" s="59"/>
    </row>
    <row r="36" spans="1:9">
      <c r="B36" s="60"/>
      <c r="C36" s="61"/>
      <c r="D36" s="62"/>
      <c r="E36" s="63"/>
      <c r="F36" s="60"/>
      <c r="G36" s="61"/>
      <c r="H36" s="62"/>
      <c r="I36" s="63"/>
    </row>
  </sheetData>
  <mergeCells count="24">
    <mergeCell ref="F26:G26"/>
    <mergeCell ref="F8:G8"/>
    <mergeCell ref="B29:I31"/>
    <mergeCell ref="I20:I21"/>
    <mergeCell ref="B8:E10"/>
    <mergeCell ref="B23:E23"/>
    <mergeCell ref="F14:I15"/>
    <mergeCell ref="H24:I24"/>
    <mergeCell ref="H20:H21"/>
    <mergeCell ref="B25:E26"/>
    <mergeCell ref="H26:I26"/>
    <mergeCell ref="F25:G25"/>
    <mergeCell ref="H25:I25"/>
    <mergeCell ref="J24:K24"/>
    <mergeCell ref="B2:I2"/>
    <mergeCell ref="F20:G20"/>
    <mergeCell ref="B20:C21"/>
    <mergeCell ref="D20:E21"/>
    <mergeCell ref="B4:I4"/>
    <mergeCell ref="B3:I3"/>
    <mergeCell ref="B22:C22"/>
    <mergeCell ref="D22:E22"/>
    <mergeCell ref="B14:E15"/>
    <mergeCell ref="F24:G24"/>
  </mergeCells>
  <phoneticPr fontId="2" type="noConversion"/>
  <dataValidations count="3">
    <dataValidation showInputMessage="1" showErrorMessage="1" prompt="Create a Sales Invoice in this worksheet. Helpful instructions on how to use this worksheet are in cells in this column. Arrow down to get started." sqref="A1" xr:uid="{00000000-0002-0000-0200-000000000000}"/>
    <dataValidation showInputMessage="1" showErrorMessage="1" prompt="Enter company name in cell B4" sqref="A6" xr:uid="{00000000-0002-0000-0200-000001000000}"/>
    <dataValidation showInputMessage="1" showErrorMessage="1" prompt="Enter company slogan in cell B5 and company address in cell E5" sqref="A7:A9" xr:uid="{00000000-0002-0000-0200-000002000000}"/>
  </dataValidations>
  <pageMargins left="0.25" right="0.25" top="0.75" bottom="0.75" header="0.3" footer="0.3"/>
  <pageSetup paperSize="9" scale="67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Order</vt:lpstr>
      <vt:lpstr>Purchase</vt:lpstr>
      <vt:lpstr>TEMPLATE</vt:lpstr>
      <vt:lpstr>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嘉韬 叶</dc:creator>
  <cp:lastModifiedBy>嘉韬 叶</cp:lastModifiedBy>
  <dcterms:created xsi:type="dcterms:W3CDTF">2026-03-14T06:42:40Z</dcterms:created>
  <dcterms:modified xsi:type="dcterms:W3CDTF">2026-03-19T08:52:43Z</dcterms:modified>
</cp:coreProperties>
</file>